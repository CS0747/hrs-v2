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filterPrivacy="1" defaultThemeVersion="124226"/>
  <xr:revisionPtr revIDLastSave="0" documentId="10_ncr:8100000_{7BFBBB7E-CD89-4B30-BDAA-269D4932620B}" xr6:coauthVersionLast="34" xr6:coauthVersionMax="34" xr10:uidLastSave="{00000000-0000-0000-0000-000000000000}"/>
  <bookViews>
    <workbookView xWindow="0" yWindow="0" windowWidth="24000" windowHeight="9525" xr2:uid="{00000000-000D-0000-FFFF-FFFF00000000}"/>
  </bookViews>
  <sheets>
    <sheet name="list per position" sheetId="2" r:id="rId1"/>
  </sheets>
  <definedNames>
    <definedName name="_xlnm.Print_Area" localSheetId="0">'list per position'!$Q$1:$U$18</definedName>
  </definedNames>
  <calcPr calcId="162913"/>
</workbook>
</file>

<file path=xl/calcChain.xml><?xml version="1.0" encoding="utf-8"?>
<calcChain xmlns="http://schemas.openxmlformats.org/spreadsheetml/2006/main">
  <c r="M106" i="2" l="1"/>
  <c r="A114" i="2"/>
  <c r="E114" i="2"/>
  <c r="I4" i="2" l="1"/>
  <c r="I5" i="2" s="1"/>
  <c r="I6" i="2" s="1"/>
  <c r="I22" i="2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66" i="2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94" i="2" s="1"/>
  <c r="I115" i="2"/>
  <c r="M24" i="2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I62" i="2" l="1"/>
  <c r="I57" i="2"/>
  <c r="I58" i="2" s="1"/>
  <c r="A94" i="2"/>
  <c r="A115" i="2"/>
  <c r="A116" i="2" s="1"/>
  <c r="A117" i="2" s="1"/>
  <c r="A118" i="2" s="1"/>
  <c r="A119" i="2" s="1"/>
  <c r="A120" i="2" s="1"/>
  <c r="A121" i="2" s="1"/>
  <c r="A122" i="2" s="1"/>
  <c r="A123" i="2" s="1"/>
  <c r="A124" i="2" s="1"/>
  <c r="U7" i="2" l="1"/>
  <c r="W7" i="2" s="1"/>
  <c r="U15" i="2"/>
  <c r="W15" i="2" s="1"/>
  <c r="U3" i="2"/>
  <c r="W3" i="2" s="1"/>
  <c r="S17" i="2"/>
  <c r="M83" i="2" l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4" i="2"/>
  <c r="M5" i="2" s="1"/>
  <c r="M6" i="2" s="1"/>
  <c r="M7" i="2" s="1"/>
  <c r="M8" i="2" s="1"/>
  <c r="M9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79" i="2" s="1"/>
  <c r="A85" i="2"/>
  <c r="A86" i="2" s="1"/>
  <c r="A73" i="2"/>
  <c r="A74" i="2" s="1"/>
  <c r="A75" i="2" s="1"/>
  <c r="A76" i="2" s="1"/>
  <c r="A77" i="2" s="1"/>
  <c r="A78" i="2" s="1"/>
  <c r="A79" i="2" s="1"/>
  <c r="A80" i="2" s="1"/>
  <c r="A81" i="2" s="1"/>
  <c r="A50" i="2"/>
  <c r="A51" i="2" s="1"/>
  <c r="A52" i="2" s="1"/>
  <c r="A53" i="2" s="1"/>
  <c r="A54" i="2" s="1"/>
  <c r="A55" i="2" s="1"/>
  <c r="A56" i="2" s="1"/>
  <c r="A69" i="2" s="1"/>
  <c r="E4" i="2"/>
  <c r="E5" i="2" s="1"/>
  <c r="E6" i="2" s="1"/>
  <c r="E7" i="2" s="1"/>
  <c r="E8" i="2" s="1"/>
  <c r="E9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A4" i="2"/>
  <c r="A5" i="2" s="1"/>
  <c r="A6" i="2" s="1"/>
  <c r="A7" i="2" s="1"/>
  <c r="A8" i="2" s="1"/>
  <c r="A9" i="2" s="1"/>
  <c r="A11" i="2" s="1"/>
  <c r="A12" i="2" s="1"/>
  <c r="A13" i="2" s="1"/>
  <c r="A14" i="2" l="1"/>
  <c r="A15" i="2" s="1"/>
  <c r="A16" i="2" s="1"/>
  <c r="A17" i="2" s="1"/>
  <c r="U5" i="2"/>
  <c r="W5" i="2" s="1"/>
  <c r="U11" i="2"/>
  <c r="W11" i="2" s="1"/>
  <c r="T17" i="2"/>
  <c r="U4" i="2"/>
  <c r="W4" i="2" s="1"/>
  <c r="U9" i="2"/>
  <c r="W9" i="2" s="1"/>
  <c r="U6" i="2"/>
  <c r="W6" i="2" s="1"/>
  <c r="U12" i="2"/>
  <c r="W12" i="2" s="1"/>
  <c r="U8" i="2"/>
  <c r="W8" i="2" s="1"/>
  <c r="U14" i="2"/>
  <c r="W14" i="2" s="1"/>
  <c r="U13" i="2" l="1"/>
  <c r="W13" i="2" s="1"/>
  <c r="W17" i="2" s="1"/>
  <c r="E63" i="2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U17" i="2" l="1"/>
</calcChain>
</file>

<file path=xl/sharedStrings.xml><?xml version="1.0" encoding="utf-8"?>
<sst xmlns="http://schemas.openxmlformats.org/spreadsheetml/2006/main" count="460" uniqueCount="229">
  <si>
    <t>MO I</t>
  </si>
  <si>
    <t>Nurse I</t>
  </si>
  <si>
    <t>AA I</t>
  </si>
  <si>
    <t>SWA</t>
  </si>
  <si>
    <t>A.A. III</t>
  </si>
  <si>
    <t>AA IV</t>
  </si>
  <si>
    <t>Med.Tech I</t>
  </si>
  <si>
    <t>N.A. I</t>
  </si>
  <si>
    <t>Med. Tech I</t>
  </si>
  <si>
    <t>Medical Officer I</t>
  </si>
  <si>
    <t>MEDICAL OFFICER I</t>
  </si>
  <si>
    <t>NURSE I</t>
  </si>
  <si>
    <t>MED. TECH I</t>
  </si>
  <si>
    <t>PHYSICAL THERAPIST I</t>
  </si>
  <si>
    <t>PHARMACIST I</t>
  </si>
  <si>
    <t>COMPUTER OPERATOR</t>
  </si>
  <si>
    <t>SOCIAL WELFARE ASSISTANT</t>
  </si>
  <si>
    <t>NURSING ATTENDANT I</t>
  </si>
  <si>
    <t>ADMIN. AIDE III</t>
  </si>
  <si>
    <t>ADMIN. AIDE I</t>
  </si>
  <si>
    <t>ADMIN. AIDE I/IW</t>
  </si>
  <si>
    <t>TOTAL</t>
  </si>
  <si>
    <t>Rad. Tech I</t>
  </si>
  <si>
    <t>Physical Therapist I</t>
  </si>
  <si>
    <t>Pharmacist I</t>
  </si>
  <si>
    <t>Computer Operator I</t>
  </si>
  <si>
    <t>Social Welfare Assistant</t>
  </si>
  <si>
    <t>Pharmacy Aide I</t>
  </si>
  <si>
    <t>Nursing Attendant I</t>
  </si>
  <si>
    <t>Admin Aide III</t>
  </si>
  <si>
    <t>Admin Aide I</t>
  </si>
  <si>
    <t>Admin Aide I/IW</t>
  </si>
  <si>
    <t>GRAND TOTAL</t>
  </si>
  <si>
    <t>ACTUAL</t>
  </si>
  <si>
    <t>VACANT</t>
  </si>
  <si>
    <t>TOTAL NUMBER OF CASUAL EMPLOYEES</t>
  </si>
  <si>
    <t>TOTAL                                          vacant</t>
  </si>
  <si>
    <t>Abaredes, Malaya A.</t>
  </si>
  <si>
    <t>Agner, Analyn P.</t>
  </si>
  <si>
    <t>Computer Operator II</t>
  </si>
  <si>
    <t>Alano, Jennifer A.</t>
  </si>
  <si>
    <t>Alviz, Hilda C.</t>
  </si>
  <si>
    <t>Amparo, Rhoy V.</t>
  </si>
  <si>
    <t>Ampon, Lalota O.</t>
  </si>
  <si>
    <t>Amutan, Eunicaella A.</t>
  </si>
  <si>
    <t>Andam, Lionel Carlo P.</t>
  </si>
  <si>
    <t>Andion, Amela Remia V.</t>
  </si>
  <si>
    <t>And, Daisy Y.</t>
  </si>
  <si>
    <t>Anglo, Joshua Christine M.</t>
  </si>
  <si>
    <t>Anglo, Ian Rodel B.</t>
  </si>
  <si>
    <t>Antonio, Larvie H.</t>
  </si>
  <si>
    <t>Aribal, Raquel L.</t>
  </si>
  <si>
    <t>Arzabal, Bernagrace N.</t>
  </si>
  <si>
    <t>Asas, Ayala M.</t>
  </si>
  <si>
    <t>Asas, Joselito C.</t>
  </si>
  <si>
    <t>Asas, King James R., II</t>
  </si>
  <si>
    <t>Asas, Mark Anthony V.</t>
  </si>
  <si>
    <t>Aspecto, Rosemarie R.</t>
  </si>
  <si>
    <t>Aviñante, Russel Bryell E.</t>
  </si>
  <si>
    <t xml:space="preserve">Babaan, Ma. Ronnamae </t>
  </si>
  <si>
    <t>Baclayo, April Joy G.</t>
  </si>
  <si>
    <t>Badian, Carlo M.</t>
  </si>
  <si>
    <t>Baldoza, Jules Ashley S.</t>
  </si>
  <si>
    <t>Bansales, Ma. Carmela V.</t>
  </si>
  <si>
    <t>Bashan, Marjorie S.</t>
  </si>
  <si>
    <t>Bataller, Christian Angelo A.</t>
  </si>
  <si>
    <t>Bates, July A.</t>
  </si>
  <si>
    <t>Lugay. Herbert C.</t>
  </si>
  <si>
    <t>Baylon, Randy B.</t>
  </si>
  <si>
    <t>A.A. III (Driver I)</t>
  </si>
  <si>
    <t>Belardo, Ailene Grace F.</t>
  </si>
  <si>
    <t>Belleza, Maria Eden C.</t>
  </si>
  <si>
    <t>Bencito, Christopher A.</t>
  </si>
  <si>
    <t>AA I (Laundry Worker I)</t>
  </si>
  <si>
    <t>Bermas, Monica B.</t>
  </si>
  <si>
    <t>Briones, Maria Reinalyn V.</t>
  </si>
  <si>
    <t>Brucal, Rodielyn M.</t>
  </si>
  <si>
    <t>Buale, Hazel A.</t>
  </si>
  <si>
    <t>Buclatin, Dairiegold S.</t>
  </si>
  <si>
    <t>Bulatao, Sharon B.</t>
  </si>
  <si>
    <t>Cabintoy, Clark P.</t>
  </si>
  <si>
    <t>Cabrera, Andrew Louie G.</t>
  </si>
  <si>
    <t>Calimutan, Girby Joe C.</t>
  </si>
  <si>
    <t>Calitis, Diana D.</t>
  </si>
  <si>
    <t>Cantanero, Darwin C.</t>
  </si>
  <si>
    <t>Capillo, Bethel Joy C.</t>
  </si>
  <si>
    <t>Carza, Ferdinand C.</t>
  </si>
  <si>
    <t>Causaren, Jennilyn C.</t>
  </si>
  <si>
    <t>Chavez, Allan R.</t>
  </si>
  <si>
    <t>Colorado, Rhodora R.</t>
  </si>
  <si>
    <t>Costa, Honeylyn C.</t>
  </si>
  <si>
    <t>Creencia, Japie Chester M.</t>
  </si>
  <si>
    <t>Cuesta, Ma. Cristina V.</t>
  </si>
  <si>
    <t>Dariagan, Chyda D.</t>
  </si>
  <si>
    <t>David, Rachel Anne A.</t>
  </si>
  <si>
    <t xml:space="preserve">Dela Cruz,Mary Grace F. </t>
  </si>
  <si>
    <t>Denauto, Christine Angela C.</t>
  </si>
  <si>
    <t>Diloy, Gianne D.</t>
  </si>
  <si>
    <t>Dumadag, Emmie I.</t>
  </si>
  <si>
    <t>Ebojo, Stephanie Claire B.</t>
  </si>
  <si>
    <t>Embudo, April Anne S.</t>
  </si>
  <si>
    <t>Ersando, Anna Patrisha N.</t>
  </si>
  <si>
    <t>Ersando, Diane Michelle D.</t>
  </si>
  <si>
    <t>Ersando, Vivian S.</t>
  </si>
  <si>
    <t>Escalante, Karen P.</t>
  </si>
  <si>
    <t>Escaño, Kith E.</t>
  </si>
  <si>
    <t>Escober, Allianna Marie P.</t>
  </si>
  <si>
    <t>Escosia, Lea D.</t>
  </si>
  <si>
    <t>Española, Asuncion N.</t>
  </si>
  <si>
    <t>Estilloso, Marvy Jay V.</t>
  </si>
  <si>
    <t>Feudo, Carol F.</t>
  </si>
  <si>
    <t>Fojas, Gail Allyson M.</t>
  </si>
  <si>
    <t>Gabas, Narciso D.</t>
  </si>
  <si>
    <t>Baldestamon, Gina D.</t>
  </si>
  <si>
    <t>Galduen, Reingelbert Z.</t>
  </si>
  <si>
    <t>RADIOLOGIC TECHNOLOGIST I</t>
  </si>
  <si>
    <t>Rad. Tech. I</t>
  </si>
  <si>
    <t>Gan, Valerie A.</t>
  </si>
  <si>
    <t>Gañac, Sheen S.</t>
  </si>
  <si>
    <t>Garcia, Juaymah R.</t>
  </si>
  <si>
    <t>Glean, Jenelyn De Taza</t>
  </si>
  <si>
    <t>Guevarra, Besinisa M.</t>
  </si>
  <si>
    <t>Hondo, Jennilyn R.</t>
  </si>
  <si>
    <t>Ignaco, Marry Grace V.</t>
  </si>
  <si>
    <t>Lab. Aide I</t>
  </si>
  <si>
    <t>Irinco, Geraldine R.</t>
  </si>
  <si>
    <t>Isaias, Nenita R.</t>
  </si>
  <si>
    <t>Jacob, Joseph P.</t>
  </si>
  <si>
    <t>Jeciel, Jaypee R.</t>
  </si>
  <si>
    <t>Jeciel, Jonathan E.</t>
  </si>
  <si>
    <t>Jose, Resilyn S.</t>
  </si>
  <si>
    <t>Lachica, Marites U.</t>
  </si>
  <si>
    <t>Lampadio, Rachelle R.</t>
  </si>
  <si>
    <t>Laroa, Patrick S.</t>
  </si>
  <si>
    <t>Leonor, Michellenie M.</t>
  </si>
  <si>
    <t>Libiran, Marie Keicelyn R.</t>
  </si>
  <si>
    <t>Limare, Kindly V.</t>
  </si>
  <si>
    <t>Limbitco, Louisa May H.</t>
  </si>
  <si>
    <t>Liveta, Camella L.</t>
  </si>
  <si>
    <t>Llamado, Gerry V.</t>
  </si>
  <si>
    <t>ADMINISTRATIVE  AIDE II/ LABORATORY AIDE I</t>
  </si>
  <si>
    <t>Lubigan, Jasmin D.</t>
  </si>
  <si>
    <t>Lubigan, Jon Mariner N.</t>
  </si>
  <si>
    <t>Mabuti, Jerrybel L.</t>
  </si>
  <si>
    <t>Madrid, Simon Archival G.</t>
  </si>
  <si>
    <t>Maligmat, Jonald Q.</t>
  </si>
  <si>
    <t>Malimban, Melba O.</t>
  </si>
  <si>
    <t>Manalo, Jaramie E.</t>
  </si>
  <si>
    <t>Mangalinao, Khrisha Mhel L.</t>
  </si>
  <si>
    <t>Manuel, Monica T.</t>
  </si>
  <si>
    <t>Rad.Tech. I</t>
  </si>
  <si>
    <t>Marasigan, Mae Ann A.</t>
  </si>
  <si>
    <t>Marges, Ma. Jamie V.</t>
  </si>
  <si>
    <t>Marquez, Charina C.</t>
  </si>
  <si>
    <t>Matiag, Loida E.</t>
  </si>
  <si>
    <t>Mendoza, Luisa T.</t>
  </si>
  <si>
    <t>Nigoza, Marriah Realiesa Jayd D.</t>
  </si>
  <si>
    <t>Mendoza, Melinda S.</t>
  </si>
  <si>
    <t>Oli, Rachel L.</t>
  </si>
  <si>
    <t>Oriña, Joverlyn B.</t>
  </si>
  <si>
    <t>Oriza, Joylene R.</t>
  </si>
  <si>
    <t>CARPENTER</t>
  </si>
  <si>
    <t>Padua, Shariel Ann S.</t>
  </si>
  <si>
    <t>Pagtalunan, Leonardo, Jr. B.</t>
  </si>
  <si>
    <t>Parco, Jecelito S.</t>
  </si>
  <si>
    <t>Pascua, Marissa U.</t>
  </si>
  <si>
    <t>Peñalba, Kimberly M.</t>
  </si>
  <si>
    <t>Penus, Eva R.</t>
  </si>
  <si>
    <t>Penus, Liezel M.</t>
  </si>
  <si>
    <t>Perez, Jenelyn A.</t>
  </si>
  <si>
    <t>Periodico, Aubrey Alliana T.</t>
  </si>
  <si>
    <t>Perlado, Arish R.</t>
  </si>
  <si>
    <t>Poblete, Suzaine R.</t>
  </si>
  <si>
    <t>Pocua, Jude J.</t>
  </si>
  <si>
    <t>Poniente, Jhay-Arr L.</t>
  </si>
  <si>
    <t>Poniente, Maricris L.</t>
  </si>
  <si>
    <t>Rala, Lalaine A.</t>
  </si>
  <si>
    <t>Ramirez, Sherry Rose N.</t>
  </si>
  <si>
    <t>Ramos, Jerson J.</t>
  </si>
  <si>
    <t>Ramirez, Michelle S.</t>
  </si>
  <si>
    <t>Rementas, Celzie Anne M.</t>
  </si>
  <si>
    <t>Retutar, Jemeniano C..</t>
  </si>
  <si>
    <t>Robles, Viktor Nigel F.</t>
  </si>
  <si>
    <t>Roguel, Rosemarie S.</t>
  </si>
  <si>
    <t>Rom, Marineth V.</t>
  </si>
  <si>
    <t>Romanes, Rico C.</t>
  </si>
  <si>
    <t>Romero, Maribel M.</t>
  </si>
  <si>
    <t>Romero, Radie M.</t>
  </si>
  <si>
    <t>Romilla, Richard A.</t>
  </si>
  <si>
    <t>Roraldo, Jenievabes D.</t>
  </si>
  <si>
    <t>Rovillos, Joyce Ann M.</t>
  </si>
  <si>
    <t>Roxas, Michelle P.</t>
  </si>
  <si>
    <t xml:space="preserve">Sadava,Jesur, Jr., M. </t>
  </si>
  <si>
    <t>Saligumba, Jovelyn S.</t>
  </si>
  <si>
    <t>Sallutan, Sherwin R.</t>
  </si>
  <si>
    <t>Sangalang, Marjorie O.</t>
  </si>
  <si>
    <t>Sangalang, Mary Justinne T.</t>
  </si>
  <si>
    <t>Sarmiento, John Rae R.</t>
  </si>
  <si>
    <t>Sierra, Ferdinand Nimroh Noah</t>
  </si>
  <si>
    <t>Singson, Louie Glenn J.</t>
  </si>
  <si>
    <t>Soriano, Sherlie S.</t>
  </si>
  <si>
    <t>Sortijas, Jacqueline J.</t>
  </si>
  <si>
    <t>Sortijas, Leo Ray P.</t>
  </si>
  <si>
    <t>Sumagui, Liezeth P.</t>
  </si>
  <si>
    <t>Talay, Elaiza Mae L.</t>
  </si>
  <si>
    <t>Tan, Quennie U.</t>
  </si>
  <si>
    <t>Tandoc, April Rose D.</t>
  </si>
  <si>
    <t>Tapawan, Ansherina A.</t>
  </si>
  <si>
    <t>Toledo, Kaizen Jay R.</t>
  </si>
  <si>
    <t>Tongson, Melver Ace N.</t>
  </si>
  <si>
    <t>Torres, Joseph G.</t>
  </si>
  <si>
    <t>Tubid, Alexander L.</t>
  </si>
  <si>
    <t>Tupas, Alpha M.</t>
  </si>
  <si>
    <t>Uy, Jasha Asshi E.</t>
  </si>
  <si>
    <t>Vicedo, Marlene B.</t>
  </si>
  <si>
    <t>Vivero, Daisy R.</t>
  </si>
  <si>
    <t>KPFH CASUAL</t>
  </si>
  <si>
    <t>Bawar, Rhea C. (VACANT)</t>
  </si>
  <si>
    <t>Diloy, Rose Myca C. (VACANT)</t>
  </si>
  <si>
    <t>Javier, Ma. Kathrina V. (VACANT)</t>
  </si>
  <si>
    <t>Atas, Ian M. (VACANT)</t>
  </si>
  <si>
    <t>Asas, Monette V.(NEW)</t>
  </si>
  <si>
    <t>Salazar, Sofhia Bianca B.(NEW)</t>
  </si>
  <si>
    <r>
      <t>Ortez, Albert Bryan P.</t>
    </r>
    <r>
      <rPr>
        <sz val="14"/>
        <color rgb="FFFF0000"/>
        <rFont val="Arial Narrow"/>
        <family val="2"/>
      </rPr>
      <t>(Lumines)</t>
    </r>
  </si>
  <si>
    <r>
      <t>Bawalan, Jerico Noelle A.</t>
    </r>
    <r>
      <rPr>
        <sz val="14"/>
        <color rgb="FFFF0000"/>
        <rFont val="Arial Narrow"/>
        <family val="2"/>
      </rPr>
      <t>(vice Kristine Hanzel Fidel)</t>
    </r>
  </si>
  <si>
    <r>
      <t xml:space="preserve">Talagtag, Judith M. </t>
    </r>
    <r>
      <rPr>
        <sz val="14"/>
        <color rgb="FFFF0000"/>
        <rFont val="Arial Narrow"/>
        <family val="2"/>
      </rPr>
      <t>(vice Joel Tonog)</t>
    </r>
  </si>
  <si>
    <t>Abelija, Marian S.(VACANT)</t>
  </si>
  <si>
    <t>Dipon, Arian Joy A.(VACANT)</t>
  </si>
  <si>
    <t>Romea, Justin D.(VACANT)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</si>
</sst>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Arial Narrow"/>
      <family val="2"/>
    </font>
    <font>
      <b/>
      <sz val="14"/>
      <name val="Calibri"/>
      <family val="2"/>
      <scheme val="minor"/>
    </font>
    <font>
      <b/>
      <sz val="14"/>
      <color theme="1"/>
      <name val="Arial Narrow"/>
      <family val="2"/>
    </font>
    <font>
      <sz val="14"/>
      <color theme="1"/>
      <name val="Calibri"/>
      <family val="2"/>
      <scheme val="minor"/>
    </font>
    <font>
      <sz val="14"/>
      <name val="Arial Narrow"/>
      <family val="2"/>
    </font>
    <font>
      <sz val="14"/>
      <color rgb="FFFF0000"/>
      <name val="Arial Narrow"/>
      <family val="2"/>
    </font>
    <font>
      <sz val="14"/>
      <color theme="4" tint="0.59999389629810485"/>
      <name val="Arial Narrow"/>
      <family val="2"/>
    </font>
    <font>
      <sz val="14"/>
      <color theme="1"/>
      <name val="Arial Narrow"/>
      <family val="2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2" fillId="4" borderId="11" xfId="0" applyFont="1" applyFill="1" applyBorder="1" applyAlignment="1">
      <alignment horizontal="center"/>
    </xf>
    <xf numFmtId="0" fontId="2" fillId="0" borderId="0" xfId="0" applyFont="1"/>
    <xf numFmtId="0" fontId="5" fillId="0" borderId="0" xfId="0" applyFont="1"/>
    <xf numFmtId="0" fontId="7" fillId="0" borderId="0" xfId="0" applyFont="1"/>
    <xf numFmtId="0" fontId="2" fillId="3" borderId="29" xfId="0" applyFont="1" applyFill="1" applyBorder="1" applyAlignment="1">
      <alignment horizontal="center"/>
    </xf>
    <xf numFmtId="0" fontId="9" fillId="0" borderId="3" xfId="1" applyFont="1" applyFill="1" applyBorder="1"/>
    <xf numFmtId="0" fontId="8" fillId="0" borderId="23" xfId="1" applyFont="1" applyFill="1" applyBorder="1"/>
    <xf numFmtId="0" fontId="8" fillId="0" borderId="4" xfId="1" applyFont="1" applyFill="1" applyBorder="1"/>
    <xf numFmtId="0" fontId="8" fillId="0" borderId="23" xfId="1" applyFont="1" applyFill="1" applyBorder="1" applyAlignment="1">
      <alignment horizontal="left"/>
    </xf>
    <xf numFmtId="0" fontId="8" fillId="0" borderId="5" xfId="1" applyFont="1" applyFill="1" applyBorder="1"/>
    <xf numFmtId="0" fontId="8" fillId="0" borderId="18" xfId="1" applyFont="1" applyFill="1" applyBorder="1" applyAlignment="1">
      <alignment horizontal="left"/>
    </xf>
    <xf numFmtId="0" fontId="9" fillId="0" borderId="4" xfId="1" applyFont="1" applyFill="1" applyBorder="1"/>
    <xf numFmtId="0" fontId="2" fillId="0" borderId="30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18" xfId="1" applyFont="1" applyFill="1" applyBorder="1"/>
    <xf numFmtId="0" fontId="8" fillId="0" borderId="4" xfId="0" applyFont="1" applyBorder="1"/>
    <xf numFmtId="0" fontId="8" fillId="0" borderId="18" xfId="0" applyFont="1" applyFill="1" applyBorder="1"/>
    <xf numFmtId="0" fontId="7" fillId="0" borderId="12" xfId="0" applyFont="1" applyBorder="1"/>
    <xf numFmtId="0" fontId="7" fillId="0" borderId="6" xfId="0" applyFont="1" applyBorder="1"/>
    <xf numFmtId="0" fontId="2" fillId="0" borderId="3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20" xfId="1" applyFont="1" applyFill="1" applyBorder="1"/>
    <xf numFmtId="0" fontId="8" fillId="0" borderId="22" xfId="1" applyFont="1" applyFill="1" applyBorder="1" applyAlignment="1">
      <alignment horizontal="left"/>
    </xf>
    <xf numFmtId="0" fontId="2" fillId="4" borderId="7" xfId="0" applyFont="1" applyFill="1" applyBorder="1"/>
    <xf numFmtId="0" fontId="2" fillId="4" borderId="10" xfId="0" applyFont="1" applyFill="1" applyBorder="1" applyAlignment="1">
      <alignment horizontal="right"/>
    </xf>
    <xf numFmtId="0" fontId="8" fillId="0" borderId="4" xfId="0" applyFont="1" applyFill="1" applyBorder="1"/>
    <xf numFmtId="0" fontId="8" fillId="2" borderId="18" xfId="1" applyFont="1" applyFill="1" applyBorder="1" applyAlignment="1">
      <alignment horizontal="left"/>
    </xf>
    <xf numFmtId="0" fontId="8" fillId="0" borderId="18" xfId="0" applyFont="1" applyBorder="1"/>
    <xf numFmtId="0" fontId="9" fillId="0" borderId="4" xfId="0" applyFont="1" applyBorder="1"/>
    <xf numFmtId="0" fontId="8" fillId="2" borderId="4" xfId="1" applyFont="1" applyFill="1" applyBorder="1"/>
    <xf numFmtId="0" fontId="7" fillId="0" borderId="9" xfId="0" applyFont="1" applyBorder="1"/>
    <xf numFmtId="0" fontId="7" fillId="0" borderId="1" xfId="0" applyFont="1" applyBorder="1"/>
    <xf numFmtId="0" fontId="7" fillId="0" borderId="32" xfId="0" applyFont="1" applyBorder="1"/>
    <xf numFmtId="0" fontId="7" fillId="0" borderId="1" xfId="0" applyFont="1" applyBorder="1" applyAlignment="1">
      <alignment horizontal="center"/>
    </xf>
    <xf numFmtId="0" fontId="7" fillId="0" borderId="4" xfId="0" applyFont="1" applyBorder="1"/>
    <xf numFmtId="0" fontId="8" fillId="0" borderId="21" xfId="1" applyFont="1" applyFill="1" applyBorder="1" applyAlignment="1">
      <alignment horizontal="left"/>
    </xf>
    <xf numFmtId="0" fontId="7" fillId="4" borderId="7" xfId="0" applyFont="1" applyFill="1" applyBorder="1"/>
    <xf numFmtId="0" fontId="2" fillId="4" borderId="10" xfId="0" applyFont="1" applyFill="1" applyBorder="1" applyAlignment="1">
      <alignment horizontal="left"/>
    </xf>
    <xf numFmtId="0" fontId="8" fillId="0" borderId="3" xfId="1" applyFont="1" applyFill="1" applyBorder="1"/>
    <xf numFmtId="0" fontId="8" fillId="0" borderId="3" xfId="0" applyFont="1" applyBorder="1"/>
    <xf numFmtId="0" fontId="8" fillId="0" borderId="28" xfId="1" applyFont="1" applyFill="1" applyBorder="1"/>
    <xf numFmtId="0" fontId="8" fillId="0" borderId="21" xfId="0" applyFont="1" applyBorder="1"/>
    <xf numFmtId="0" fontId="8" fillId="0" borderId="16" xfId="1" applyFont="1" applyFill="1" applyBorder="1"/>
    <xf numFmtId="0" fontId="8" fillId="0" borderId="17" xfId="1" applyFont="1" applyFill="1" applyBorder="1" applyAlignment="1">
      <alignment horizontal="left"/>
    </xf>
    <xf numFmtId="0" fontId="11" fillId="0" borderId="0" xfId="0" applyFont="1"/>
    <xf numFmtId="0" fontId="8" fillId="0" borderId="27" xfId="1" applyFont="1" applyFill="1" applyBorder="1"/>
    <xf numFmtId="0" fontId="9" fillId="0" borderId="27" xfId="1" applyFont="1" applyFill="1" applyBorder="1"/>
    <xf numFmtId="0" fontId="10" fillId="0" borderId="4" xfId="1" applyFont="1" applyFill="1" applyBorder="1"/>
    <xf numFmtId="0" fontId="8" fillId="0" borderId="34" xfId="1" applyFont="1" applyFill="1" applyBorder="1"/>
    <xf numFmtId="0" fontId="8" fillId="0" borderId="0" xfId="0" applyFont="1" applyBorder="1"/>
    <xf numFmtId="0" fontId="8" fillId="0" borderId="21" xfId="1" applyFont="1" applyFill="1" applyBorder="1"/>
    <xf numFmtId="0" fontId="2" fillId="4" borderId="9" xfId="0" applyFont="1" applyFill="1" applyBorder="1"/>
    <xf numFmtId="0" fontId="2" fillId="4" borderId="1" xfId="0" applyFont="1" applyFill="1" applyBorder="1" applyAlignment="1">
      <alignment horizontal="left"/>
    </xf>
    <xf numFmtId="0" fontId="2" fillId="4" borderId="24" xfId="0" applyFont="1" applyFill="1" applyBorder="1" applyAlignment="1">
      <alignment horizontal="center"/>
    </xf>
    <xf numFmtId="0" fontId="12" fillId="0" borderId="0" xfId="0" applyFont="1"/>
    <xf numFmtId="0" fontId="4" fillId="0" borderId="21" xfId="0" applyFont="1" applyFill="1" applyBorder="1"/>
    <xf numFmtId="0" fontId="8" fillId="0" borderId="34" xfId="1" applyFont="1" applyFill="1" applyBorder="1" applyAlignment="1">
      <alignment horizontal="left"/>
    </xf>
    <xf numFmtId="0" fontId="2" fillId="4" borderId="1" xfId="0" applyFont="1" applyFill="1" applyBorder="1" applyAlignment="1">
      <alignment horizontal="right"/>
    </xf>
    <xf numFmtId="0" fontId="8" fillId="0" borderId="4" xfId="1" applyFont="1" applyFill="1" applyBorder="1" applyAlignment="1">
      <alignment horizontal="left"/>
    </xf>
    <xf numFmtId="0" fontId="8" fillId="0" borderId="2" xfId="1" applyFont="1" applyFill="1" applyBorder="1" applyAlignment="1">
      <alignment horizontal="center"/>
    </xf>
    <xf numFmtId="0" fontId="8" fillId="0" borderId="5" xfId="1" applyFont="1" applyFill="1" applyBorder="1" applyAlignment="1">
      <alignment horizontal="center"/>
    </xf>
    <xf numFmtId="0" fontId="8" fillId="0" borderId="33" xfId="1" applyFont="1" applyFill="1" applyBorder="1" applyAlignment="1">
      <alignment horizontal="center"/>
    </xf>
    <xf numFmtId="0" fontId="8" fillId="0" borderId="19" xfId="1" applyFont="1" applyFill="1" applyBorder="1" applyAlignment="1">
      <alignment horizontal="center"/>
    </xf>
    <xf numFmtId="0" fontId="8" fillId="0" borderId="15" xfId="1" applyFont="1" applyFill="1" applyBorder="1" applyAlignment="1">
      <alignment horizontal="center"/>
    </xf>
    <xf numFmtId="0" fontId="8" fillId="0" borderId="18" xfId="1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27" xfId="0" applyFont="1" applyBorder="1" applyAlignment="1">
      <alignment horizontal="left"/>
    </xf>
    <xf numFmtId="0" fontId="8" fillId="2" borderId="4" xfId="0" applyFont="1" applyFill="1" applyBorder="1" applyAlignment="1"/>
    <xf numFmtId="0" fontId="9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8" fillId="0" borderId="4" xfId="1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8" fillId="0" borderId="1" xfId="1" applyFont="1" applyFill="1" applyBorder="1"/>
    <xf numFmtId="0" fontId="8" fillId="0" borderId="35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7" fillId="4" borderId="9" xfId="0" applyFont="1" applyFill="1" applyBorder="1"/>
    <xf numFmtId="0" fontId="2" fillId="2" borderId="0" xfId="0" applyFont="1" applyFill="1" applyBorder="1" applyAlignment="1">
      <alignment horizontal="right"/>
    </xf>
    <xf numFmtId="0" fontId="8" fillId="0" borderId="0" xfId="1" applyFont="1" applyFill="1" applyBorder="1"/>
    <xf numFmtId="0" fontId="8" fillId="0" borderId="0" xfId="1" applyFont="1" applyFill="1" applyBorder="1" applyAlignment="1">
      <alignment horizontal="left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7" fillId="0" borderId="12" xfId="0" applyFont="1" applyBorder="1" applyAlignment="1"/>
    <xf numFmtId="0" fontId="7" fillId="0" borderId="37" xfId="0" applyFont="1" applyBorder="1" applyAlignment="1"/>
    <xf numFmtId="0" fontId="2" fillId="3" borderId="7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26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/>
    </xf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1247775</xdr:colOff>
      <xdr:row>14</xdr:row>
      <xdr:rowOff>76200</xdr:rowOff>
    </xdr:from>
    <xdr:to>
      <xdr:col>17</xdr:col>
      <xdr:colOff>1343025</xdr:colOff>
      <xdr:row>15</xdr:row>
      <xdr:rowOff>142875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5535275" y="2857500"/>
          <a:ext cx="95250" cy="2857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4"/>
  <sheetViews>
    <sheetView tabSelected="1" zoomScale="80" zoomScaleNormal="80" workbookViewId="0">
      <selection activeCell="J9" sqref="J9"/>
    </sheetView>
  </sheetViews>
  <sheetFormatPr defaultRowHeight="18.75" x14ac:dyDescent="0.3"/>
  <cols>
    <col min="1" max="1" width="5.28515625" style="4" customWidth="1"/>
    <col min="2" max="2" width="52.7109375" style="4" customWidth="1"/>
    <col min="3" max="3" width="15.7109375" style="4" customWidth="1"/>
    <col min="4" max="4" width="2.5703125" style="4" customWidth="1"/>
    <col min="5" max="5" width="5.28515625" style="56" customWidth="1"/>
    <col min="6" max="6" width="39.7109375" style="56" customWidth="1"/>
    <col min="7" max="7" width="14.140625" style="56" customWidth="1"/>
    <col min="8" max="8" width="3" style="4" customWidth="1"/>
    <col min="9" max="9" width="5.28515625" style="4" customWidth="1"/>
    <col min="10" max="10" width="42" style="4" customWidth="1"/>
    <col min="11" max="11" width="18.140625" style="4" customWidth="1"/>
    <col min="12" max="12" width="2.42578125" style="4" customWidth="1"/>
    <col min="13" max="13" width="5.28515625" style="4" customWidth="1"/>
    <col min="14" max="14" width="40.140625" style="4" customWidth="1"/>
    <col min="15" max="15" width="23.5703125" style="4" customWidth="1"/>
    <col min="16" max="17" width="9.140625" style="4"/>
    <col min="18" max="18" width="31.85546875" style="4" customWidth="1"/>
    <col min="19" max="19" width="11.42578125" style="4" customWidth="1"/>
    <col min="20" max="20" width="12" style="4" customWidth="1"/>
    <col min="21" max="21" width="13.140625" style="4" customWidth="1"/>
    <col min="22" max="16384" width="9.140625" style="4"/>
  </cols>
  <sheetData>
    <row r="1" spans="1:23" s="2" customFormat="1" ht="19.5" thickBot="1" x14ac:dyDescent="0.35">
      <c r="A1" s="2" t="s">
        <v>216</v>
      </c>
      <c r="E1" s="2" t="s">
        <v>216</v>
      </c>
      <c r="F1" s="3"/>
      <c r="G1" s="3"/>
      <c r="I1" s="2" t="s">
        <v>216</v>
      </c>
      <c r="M1" s="2" t="s">
        <v>216</v>
      </c>
      <c r="Q1" s="2" t="s">
        <v>216</v>
      </c>
    </row>
    <row r="2" spans="1:23" ht="19.5" thickBot="1" x14ac:dyDescent="0.35">
      <c r="A2" s="104" t="s">
        <v>10</v>
      </c>
      <c r="B2" s="105"/>
      <c r="C2" s="106"/>
      <c r="E2" s="101" t="s">
        <v>11</v>
      </c>
      <c r="F2" s="102"/>
      <c r="G2" s="103"/>
      <c r="I2" s="101" t="s">
        <v>16</v>
      </c>
      <c r="J2" s="102"/>
      <c r="K2" s="103"/>
      <c r="M2" s="98" t="s">
        <v>19</v>
      </c>
      <c r="N2" s="99"/>
      <c r="O2" s="100"/>
      <c r="Q2" s="86" t="s">
        <v>35</v>
      </c>
      <c r="R2" s="87"/>
      <c r="S2" s="5"/>
      <c r="T2" s="5" t="s">
        <v>33</v>
      </c>
      <c r="U2" s="5" t="s">
        <v>34</v>
      </c>
    </row>
    <row r="3" spans="1:23" x14ac:dyDescent="0.3">
      <c r="A3" s="61">
        <v>1</v>
      </c>
      <c r="B3" s="6"/>
      <c r="C3" s="7" t="s">
        <v>0</v>
      </c>
      <c r="E3" s="61">
        <v>1</v>
      </c>
      <c r="F3" s="12" t="s">
        <v>226</v>
      </c>
      <c r="G3" s="9" t="s">
        <v>1</v>
      </c>
      <c r="I3" s="62">
        <v>1</v>
      </c>
      <c r="J3" s="71" t="s">
        <v>89</v>
      </c>
      <c r="K3" s="11" t="s">
        <v>3</v>
      </c>
      <c r="M3" s="65">
        <v>1</v>
      </c>
      <c r="N3" s="8" t="s">
        <v>45</v>
      </c>
      <c r="O3" s="11" t="s">
        <v>2</v>
      </c>
      <c r="Q3" s="88" t="s">
        <v>9</v>
      </c>
      <c r="R3" s="89"/>
      <c r="S3" s="13"/>
      <c r="T3" s="14"/>
      <c r="U3" s="15">
        <f>S3-T3</f>
        <v>0</v>
      </c>
      <c r="W3" s="4">
        <f>T3+U3</f>
        <v>0</v>
      </c>
    </row>
    <row r="4" spans="1:23" x14ac:dyDescent="0.3">
      <c r="A4" s="62">
        <f>A3+1</f>
        <v>2</v>
      </c>
      <c r="B4" s="12"/>
      <c r="C4" s="16" t="s">
        <v>0</v>
      </c>
      <c r="E4" s="62">
        <f t="shared" ref="E4:E36" si="0">E3+1</f>
        <v>2</v>
      </c>
      <c r="F4" s="17" t="s">
        <v>42</v>
      </c>
      <c r="G4" s="18" t="s">
        <v>1</v>
      </c>
      <c r="I4" s="62">
        <f>I3+1</f>
        <v>2</v>
      </c>
      <c r="J4" s="8"/>
      <c r="K4" s="11" t="s">
        <v>3</v>
      </c>
      <c r="M4" s="62">
        <f>M3+1</f>
        <v>2</v>
      </c>
      <c r="N4" s="8" t="s">
        <v>54</v>
      </c>
      <c r="O4" s="11" t="s">
        <v>2</v>
      </c>
      <c r="Q4" s="90" t="s">
        <v>1</v>
      </c>
      <c r="R4" s="91"/>
      <c r="S4" s="21"/>
      <c r="T4" s="22"/>
      <c r="U4" s="15">
        <f t="shared" ref="U4:U15" si="1">S4-T4</f>
        <v>0</v>
      </c>
      <c r="W4" s="4">
        <f t="shared" ref="W4:W15" si="2">T4+U4</f>
        <v>0</v>
      </c>
    </row>
    <row r="5" spans="1:23" ht="19.5" thickBot="1" x14ac:dyDescent="0.35">
      <c r="A5" s="62">
        <f t="shared" ref="A5:A16" si="3">A4+1</f>
        <v>3</v>
      </c>
      <c r="B5" s="12"/>
      <c r="C5" s="16" t="s">
        <v>0</v>
      </c>
      <c r="E5" s="62">
        <f t="shared" si="0"/>
        <v>3</v>
      </c>
      <c r="F5" s="17" t="s">
        <v>44</v>
      </c>
      <c r="G5" s="18" t="s">
        <v>1</v>
      </c>
      <c r="I5" s="64">
        <f>I4+1</f>
        <v>3</v>
      </c>
      <c r="J5" s="23"/>
      <c r="K5" s="24" t="s">
        <v>3</v>
      </c>
      <c r="M5" s="62">
        <f t="shared" ref="M5:M20" si="4">M4+1</f>
        <v>3</v>
      </c>
      <c r="N5" s="8" t="s">
        <v>57</v>
      </c>
      <c r="O5" s="11" t="s">
        <v>2</v>
      </c>
      <c r="Q5" s="19" t="s">
        <v>22</v>
      </c>
      <c r="R5" s="20"/>
      <c r="S5" s="21"/>
      <c r="T5" s="22"/>
      <c r="U5" s="15">
        <f t="shared" si="1"/>
        <v>0</v>
      </c>
      <c r="W5" s="4">
        <f t="shared" si="2"/>
        <v>0</v>
      </c>
    </row>
    <row r="6" spans="1:23" ht="19.5" thickBot="1" x14ac:dyDescent="0.35">
      <c r="A6" s="62">
        <f t="shared" si="3"/>
        <v>4</v>
      </c>
      <c r="B6" s="12"/>
      <c r="C6" s="11" t="s">
        <v>0</v>
      </c>
      <c r="E6" s="62">
        <f t="shared" si="0"/>
        <v>4</v>
      </c>
      <c r="F6" s="17" t="s">
        <v>47</v>
      </c>
      <c r="G6" s="11" t="s">
        <v>1</v>
      </c>
      <c r="I6" s="25">
        <f>I5</f>
        <v>3</v>
      </c>
      <c r="J6" s="26" t="s">
        <v>21</v>
      </c>
      <c r="K6" s="1">
        <v>3</v>
      </c>
      <c r="M6" s="62">
        <f t="shared" si="4"/>
        <v>4</v>
      </c>
      <c r="N6" s="17" t="s">
        <v>58</v>
      </c>
      <c r="O6" s="11" t="s">
        <v>2</v>
      </c>
      <c r="Q6" s="19" t="s">
        <v>8</v>
      </c>
      <c r="R6" s="20"/>
      <c r="S6" s="21"/>
      <c r="T6" s="22"/>
      <c r="U6" s="15">
        <f t="shared" si="1"/>
        <v>0</v>
      </c>
      <c r="W6" s="4">
        <f t="shared" si="2"/>
        <v>0</v>
      </c>
    </row>
    <row r="7" spans="1:23" ht="19.5" thickBot="1" x14ac:dyDescent="0.35">
      <c r="A7" s="62">
        <f t="shared" si="3"/>
        <v>5</v>
      </c>
      <c r="B7" s="12"/>
      <c r="C7" s="16" t="s">
        <v>0</v>
      </c>
      <c r="E7" s="62">
        <f t="shared" si="0"/>
        <v>5</v>
      </c>
      <c r="F7" s="17" t="s">
        <v>49</v>
      </c>
      <c r="G7" s="16" t="s">
        <v>1</v>
      </c>
      <c r="M7" s="62">
        <f t="shared" si="4"/>
        <v>5</v>
      </c>
      <c r="N7" s="8" t="s">
        <v>60</v>
      </c>
      <c r="O7" s="11" t="s">
        <v>2</v>
      </c>
      <c r="Q7" s="19" t="s">
        <v>23</v>
      </c>
      <c r="R7" s="20"/>
      <c r="S7" s="21"/>
      <c r="T7" s="22"/>
      <c r="U7" s="15">
        <f t="shared" si="1"/>
        <v>0</v>
      </c>
      <c r="W7" s="4">
        <f t="shared" si="2"/>
        <v>0</v>
      </c>
    </row>
    <row r="8" spans="1:23" ht="19.5" thickBot="1" x14ac:dyDescent="0.35">
      <c r="A8" s="62">
        <f t="shared" si="3"/>
        <v>6</v>
      </c>
      <c r="B8" s="12"/>
      <c r="C8" s="16" t="s">
        <v>0</v>
      </c>
      <c r="E8" s="62">
        <f t="shared" si="0"/>
        <v>6</v>
      </c>
      <c r="F8" s="27" t="s">
        <v>48</v>
      </c>
      <c r="G8" s="11" t="s">
        <v>1</v>
      </c>
      <c r="I8" s="101" t="s">
        <v>161</v>
      </c>
      <c r="J8" s="102"/>
      <c r="K8" s="103"/>
      <c r="M8" s="62">
        <f t="shared" si="4"/>
        <v>6</v>
      </c>
      <c r="N8" s="8" t="s">
        <v>72</v>
      </c>
      <c r="O8" s="11" t="s">
        <v>73</v>
      </c>
      <c r="Q8" s="19" t="s">
        <v>24</v>
      </c>
      <c r="R8" s="20"/>
      <c r="S8" s="21"/>
      <c r="T8" s="22"/>
      <c r="U8" s="15">
        <f t="shared" si="1"/>
        <v>0</v>
      </c>
      <c r="W8" s="4">
        <f t="shared" si="2"/>
        <v>0</v>
      </c>
    </row>
    <row r="9" spans="1:23" x14ac:dyDescent="0.3">
      <c r="A9" s="62">
        <f t="shared" si="3"/>
        <v>7</v>
      </c>
      <c r="B9" s="12"/>
      <c r="C9" s="16" t="s">
        <v>0</v>
      </c>
      <c r="E9" s="62">
        <f t="shared" si="0"/>
        <v>7</v>
      </c>
      <c r="F9" s="8" t="s">
        <v>56</v>
      </c>
      <c r="G9" s="28" t="s">
        <v>1</v>
      </c>
      <c r="I9" s="62">
        <v>1</v>
      </c>
      <c r="J9" s="8" t="s">
        <v>223</v>
      </c>
      <c r="K9" s="11" t="s">
        <v>5</v>
      </c>
      <c r="M9" s="62">
        <f t="shared" si="4"/>
        <v>7</v>
      </c>
      <c r="N9" s="71" t="s">
        <v>83</v>
      </c>
      <c r="O9" s="11" t="s">
        <v>2</v>
      </c>
      <c r="Q9" s="19" t="s">
        <v>39</v>
      </c>
      <c r="R9" s="20"/>
      <c r="S9" s="21"/>
      <c r="T9" s="22"/>
      <c r="U9" s="15">
        <f t="shared" si="1"/>
        <v>0</v>
      </c>
      <c r="W9" s="4">
        <f t="shared" si="2"/>
        <v>0</v>
      </c>
    </row>
    <row r="10" spans="1:23" x14ac:dyDescent="0.3">
      <c r="A10" s="62"/>
      <c r="B10" s="12"/>
      <c r="C10" s="16"/>
      <c r="E10" s="62"/>
      <c r="F10" s="8"/>
      <c r="G10" s="28"/>
      <c r="I10" s="62"/>
      <c r="J10" s="8"/>
      <c r="K10" s="11"/>
      <c r="M10" s="62"/>
      <c r="N10" s="71"/>
      <c r="O10" s="11"/>
      <c r="Q10" s="19" t="s">
        <v>25</v>
      </c>
      <c r="R10" s="20"/>
      <c r="S10" s="21"/>
      <c r="T10" s="22"/>
      <c r="U10" s="15"/>
    </row>
    <row r="11" spans="1:23" x14ac:dyDescent="0.3">
      <c r="A11" s="62">
        <f>A9+1</f>
        <v>8</v>
      </c>
      <c r="B11" s="12"/>
      <c r="C11" s="29" t="s">
        <v>0</v>
      </c>
      <c r="E11" s="62">
        <f>E9+1</f>
        <v>8</v>
      </c>
      <c r="F11" s="8" t="s">
        <v>62</v>
      </c>
      <c r="G11" s="29" t="s">
        <v>1</v>
      </c>
      <c r="I11" s="62"/>
      <c r="J11" s="8"/>
      <c r="K11" s="11"/>
      <c r="M11" s="62">
        <f>M9+1</f>
        <v>8</v>
      </c>
      <c r="N11" s="71" t="s">
        <v>86</v>
      </c>
      <c r="O11" s="11" t="s">
        <v>2</v>
      </c>
      <c r="Q11" s="19" t="s">
        <v>26</v>
      </c>
      <c r="R11" s="20"/>
      <c r="S11" s="21"/>
      <c r="T11" s="22"/>
      <c r="U11" s="15">
        <f t="shared" si="1"/>
        <v>0</v>
      </c>
      <c r="W11" s="4">
        <f t="shared" si="2"/>
        <v>0</v>
      </c>
    </row>
    <row r="12" spans="1:23" x14ac:dyDescent="0.3">
      <c r="A12" s="62">
        <f t="shared" si="3"/>
        <v>9</v>
      </c>
      <c r="B12" s="12"/>
      <c r="C12" s="29" t="s">
        <v>0</v>
      </c>
      <c r="E12" s="62">
        <f t="shared" si="0"/>
        <v>9</v>
      </c>
      <c r="F12" s="8" t="s">
        <v>63</v>
      </c>
      <c r="G12" s="11" t="s">
        <v>1</v>
      </c>
      <c r="I12" s="62"/>
      <c r="J12" s="8"/>
      <c r="K12" s="11"/>
      <c r="M12" s="62">
        <f t="shared" si="4"/>
        <v>9</v>
      </c>
      <c r="N12" s="71" t="s">
        <v>92</v>
      </c>
      <c r="O12" s="11" t="s">
        <v>2</v>
      </c>
      <c r="Q12" s="19" t="s">
        <v>27</v>
      </c>
      <c r="R12" s="20"/>
      <c r="S12" s="21"/>
      <c r="T12" s="22"/>
      <c r="U12" s="15">
        <f t="shared" si="1"/>
        <v>0</v>
      </c>
      <c r="W12" s="4">
        <f t="shared" si="2"/>
        <v>0</v>
      </c>
    </row>
    <row r="13" spans="1:23" x14ac:dyDescent="0.3">
      <c r="A13" s="62">
        <f t="shared" si="3"/>
        <v>10</v>
      </c>
      <c r="B13" s="12"/>
      <c r="C13" s="16" t="s">
        <v>0</v>
      </c>
      <c r="E13" s="62">
        <f t="shared" si="0"/>
        <v>10</v>
      </c>
      <c r="F13" s="8" t="s">
        <v>70</v>
      </c>
      <c r="G13" s="16" t="s">
        <v>1</v>
      </c>
      <c r="I13" s="62"/>
      <c r="J13" s="8"/>
      <c r="K13" s="11"/>
      <c r="M13" s="62">
        <f t="shared" si="4"/>
        <v>10</v>
      </c>
      <c r="N13" s="8" t="s">
        <v>97</v>
      </c>
      <c r="O13" s="11" t="s">
        <v>2</v>
      </c>
      <c r="Q13" s="19" t="s">
        <v>28</v>
      </c>
      <c r="R13" s="20"/>
      <c r="S13" s="21"/>
      <c r="T13" s="22"/>
      <c r="U13" s="15">
        <f t="shared" si="1"/>
        <v>0</v>
      </c>
      <c r="W13" s="4">
        <f t="shared" si="2"/>
        <v>0</v>
      </c>
    </row>
    <row r="14" spans="1:23" x14ac:dyDescent="0.3">
      <c r="A14" s="62">
        <f t="shared" si="3"/>
        <v>11</v>
      </c>
      <c r="B14" s="6"/>
      <c r="C14" s="16" t="s">
        <v>0</v>
      </c>
      <c r="E14" s="62">
        <f t="shared" si="0"/>
        <v>11</v>
      </c>
      <c r="F14" s="8" t="s">
        <v>71</v>
      </c>
      <c r="G14" s="11" t="s">
        <v>1</v>
      </c>
      <c r="I14" s="62"/>
      <c r="J14" s="8"/>
      <c r="K14" s="11"/>
      <c r="M14" s="62">
        <f t="shared" si="4"/>
        <v>11</v>
      </c>
      <c r="N14" s="8" t="s">
        <v>101</v>
      </c>
      <c r="O14" s="11" t="s">
        <v>2</v>
      </c>
      <c r="Q14" s="19" t="s">
        <v>29</v>
      </c>
      <c r="R14" s="20"/>
      <c r="S14" s="21"/>
      <c r="T14" s="22"/>
      <c r="U14" s="15">
        <f t="shared" si="1"/>
        <v>0</v>
      </c>
      <c r="W14" s="4">
        <f t="shared" si="2"/>
        <v>0</v>
      </c>
    </row>
    <row r="15" spans="1:23" x14ac:dyDescent="0.3">
      <c r="A15" s="62">
        <f t="shared" si="3"/>
        <v>12</v>
      </c>
      <c r="B15" s="6"/>
      <c r="C15" s="16" t="s">
        <v>0</v>
      </c>
      <c r="E15" s="62">
        <f t="shared" si="0"/>
        <v>12</v>
      </c>
      <c r="F15" s="17" t="s">
        <v>77</v>
      </c>
      <c r="G15" s="18" t="s">
        <v>1</v>
      </c>
      <c r="I15" s="62"/>
      <c r="J15" s="8"/>
      <c r="K15" s="11"/>
      <c r="M15" s="62">
        <f t="shared" si="4"/>
        <v>12</v>
      </c>
      <c r="N15" s="8" t="s">
        <v>110</v>
      </c>
      <c r="O15" s="11" t="s">
        <v>2</v>
      </c>
      <c r="Q15" s="19" t="s">
        <v>30</v>
      </c>
      <c r="R15" s="20"/>
      <c r="S15" s="21"/>
      <c r="T15" s="22"/>
      <c r="U15" s="15">
        <f t="shared" si="1"/>
        <v>0</v>
      </c>
      <c r="W15" s="4">
        <f t="shared" si="2"/>
        <v>0</v>
      </c>
    </row>
    <row r="16" spans="1:23" ht="19.5" thickBot="1" x14ac:dyDescent="0.35">
      <c r="A16" s="62">
        <f t="shared" si="3"/>
        <v>13</v>
      </c>
      <c r="B16" s="30"/>
      <c r="C16" s="16" t="s">
        <v>0</v>
      </c>
      <c r="E16" s="62">
        <f t="shared" si="0"/>
        <v>13</v>
      </c>
      <c r="F16" s="31" t="s">
        <v>79</v>
      </c>
      <c r="G16" s="18" t="s">
        <v>1</v>
      </c>
      <c r="I16" s="62"/>
      <c r="J16" s="8"/>
      <c r="K16" s="11"/>
      <c r="M16" s="62">
        <f t="shared" si="4"/>
        <v>13</v>
      </c>
      <c r="N16" s="8" t="s">
        <v>132</v>
      </c>
      <c r="O16" s="11" t="s">
        <v>2</v>
      </c>
      <c r="Q16" s="32" t="s">
        <v>31</v>
      </c>
      <c r="R16" s="33"/>
      <c r="S16" s="34"/>
      <c r="T16" s="35"/>
      <c r="U16" s="36"/>
    </row>
    <row r="17" spans="1:23" ht="19.5" thickBot="1" x14ac:dyDescent="0.35">
      <c r="A17" s="25">
        <f>A16</f>
        <v>13</v>
      </c>
      <c r="B17" s="26" t="s">
        <v>21</v>
      </c>
      <c r="C17" s="1">
        <v>0</v>
      </c>
      <c r="E17" s="62">
        <f t="shared" si="0"/>
        <v>14</v>
      </c>
      <c r="F17" s="71" t="s">
        <v>80</v>
      </c>
      <c r="G17" s="29" t="s">
        <v>1</v>
      </c>
      <c r="I17" s="62"/>
      <c r="J17" s="23"/>
      <c r="K17" s="37"/>
      <c r="M17" s="62">
        <f t="shared" si="4"/>
        <v>14</v>
      </c>
      <c r="N17" s="8" t="s">
        <v>142</v>
      </c>
      <c r="O17" s="11" t="s">
        <v>2</v>
      </c>
      <c r="Q17" s="38"/>
      <c r="R17" s="39" t="s">
        <v>32</v>
      </c>
      <c r="S17" s="1">
        <f>SUM(S3:S16)</f>
        <v>0</v>
      </c>
      <c r="T17" s="1">
        <f>SUM(T3:T16)</f>
        <v>0</v>
      </c>
      <c r="U17" s="1">
        <f>SUM(U3:U16)</f>
        <v>0</v>
      </c>
      <c r="W17" s="1">
        <f>SUM(W3:W16)</f>
        <v>0</v>
      </c>
    </row>
    <row r="18" spans="1:23" ht="19.5" thickBot="1" x14ac:dyDescent="0.35">
      <c r="E18" s="62">
        <f t="shared" si="0"/>
        <v>15</v>
      </c>
      <c r="F18" s="71" t="s">
        <v>81</v>
      </c>
      <c r="G18" s="11" t="s">
        <v>1</v>
      </c>
      <c r="I18" s="25">
        <v>1</v>
      </c>
      <c r="J18" s="26" t="s">
        <v>21</v>
      </c>
      <c r="K18" s="1"/>
      <c r="M18" s="62">
        <f t="shared" si="4"/>
        <v>15</v>
      </c>
      <c r="N18" s="8" t="s">
        <v>163</v>
      </c>
      <c r="O18" s="11" t="s">
        <v>2</v>
      </c>
    </row>
    <row r="19" spans="1:23" ht="19.5" thickBot="1" x14ac:dyDescent="0.35">
      <c r="A19" s="107"/>
      <c r="B19" s="107"/>
      <c r="C19" s="107"/>
      <c r="E19" s="62">
        <f t="shared" si="0"/>
        <v>16</v>
      </c>
      <c r="F19" s="71" t="s">
        <v>82</v>
      </c>
      <c r="G19" s="11" t="s">
        <v>1</v>
      </c>
      <c r="M19" s="62">
        <f t="shared" si="4"/>
        <v>16</v>
      </c>
      <c r="N19" s="8" t="s">
        <v>168</v>
      </c>
      <c r="O19" s="11" t="s">
        <v>2</v>
      </c>
    </row>
    <row r="20" spans="1:23" x14ac:dyDescent="0.3">
      <c r="A20" s="82"/>
      <c r="B20" s="82"/>
      <c r="C20" s="83"/>
      <c r="E20" s="62">
        <f t="shared" si="0"/>
        <v>17</v>
      </c>
      <c r="F20" s="71" t="s">
        <v>87</v>
      </c>
      <c r="G20" s="11" t="s">
        <v>1</v>
      </c>
      <c r="I20" s="95" t="s">
        <v>17</v>
      </c>
      <c r="J20" s="96"/>
      <c r="K20" s="97"/>
      <c r="M20" s="62">
        <f t="shared" si="4"/>
        <v>17</v>
      </c>
      <c r="N20" s="8" t="s">
        <v>175</v>
      </c>
      <c r="O20" s="11" t="s">
        <v>2</v>
      </c>
    </row>
    <row r="21" spans="1:23" x14ac:dyDescent="0.3">
      <c r="A21" s="82"/>
      <c r="B21" s="82"/>
      <c r="C21" s="83"/>
      <c r="E21" s="62">
        <f t="shared" si="0"/>
        <v>18</v>
      </c>
      <c r="F21" s="71" t="s">
        <v>90</v>
      </c>
      <c r="G21" s="11" t="s">
        <v>1</v>
      </c>
      <c r="I21" s="67">
        <v>1</v>
      </c>
      <c r="J21" s="8" t="s">
        <v>37</v>
      </c>
      <c r="K21" s="66" t="s">
        <v>7</v>
      </c>
      <c r="M21" s="62">
        <v>18</v>
      </c>
      <c r="N21" s="8" t="s">
        <v>185</v>
      </c>
      <c r="O21" s="11" t="s">
        <v>2</v>
      </c>
    </row>
    <row r="22" spans="1:23" x14ac:dyDescent="0.3">
      <c r="A22" s="82"/>
      <c r="B22" s="82"/>
      <c r="C22" s="83"/>
      <c r="E22" s="62">
        <f t="shared" si="0"/>
        <v>19</v>
      </c>
      <c r="F22" s="68" t="s">
        <v>94</v>
      </c>
      <c r="G22" s="11" t="s">
        <v>1</v>
      </c>
      <c r="I22" s="67">
        <f>I21+1</f>
        <v>2</v>
      </c>
      <c r="J22" s="8" t="s">
        <v>38</v>
      </c>
      <c r="K22" s="66" t="s">
        <v>7</v>
      </c>
      <c r="M22" s="62">
        <v>19</v>
      </c>
      <c r="N22" s="8" t="s">
        <v>210</v>
      </c>
      <c r="O22" s="11" t="s">
        <v>2</v>
      </c>
    </row>
    <row r="23" spans="1:23" x14ac:dyDescent="0.3">
      <c r="A23" s="82"/>
      <c r="B23" s="82"/>
      <c r="C23" s="83"/>
      <c r="E23" s="62">
        <f t="shared" si="0"/>
        <v>20</v>
      </c>
      <c r="F23" s="8" t="s">
        <v>96</v>
      </c>
      <c r="G23" s="11" t="s">
        <v>1</v>
      </c>
      <c r="I23" s="67">
        <f t="shared" ref="I23:I58" si="5">I22+1</f>
        <v>3</v>
      </c>
      <c r="J23" s="17" t="s">
        <v>41</v>
      </c>
      <c r="K23" s="66" t="s">
        <v>7</v>
      </c>
      <c r="M23" s="62">
        <v>20</v>
      </c>
      <c r="N23" s="8" t="s">
        <v>225</v>
      </c>
      <c r="O23" s="11" t="s">
        <v>73</v>
      </c>
    </row>
    <row r="24" spans="1:23" x14ac:dyDescent="0.3">
      <c r="A24" s="82"/>
      <c r="B24" s="82"/>
      <c r="C24" s="83"/>
      <c r="E24" s="62">
        <f t="shared" si="0"/>
        <v>21</v>
      </c>
      <c r="F24" s="12" t="s">
        <v>227</v>
      </c>
      <c r="G24" s="11" t="s">
        <v>1</v>
      </c>
      <c r="I24" s="67">
        <f t="shared" si="5"/>
        <v>4</v>
      </c>
      <c r="J24" s="68" t="s">
        <v>43</v>
      </c>
      <c r="K24" s="66" t="s">
        <v>7</v>
      </c>
      <c r="M24" s="62">
        <f>M23+1</f>
        <v>21</v>
      </c>
      <c r="N24" s="8"/>
      <c r="O24" s="11"/>
    </row>
    <row r="25" spans="1:23" x14ac:dyDescent="0.3">
      <c r="A25" s="82"/>
      <c r="B25" s="82"/>
      <c r="C25" s="83"/>
      <c r="E25" s="62">
        <f t="shared" si="0"/>
        <v>22</v>
      </c>
      <c r="F25" s="8" t="s">
        <v>99</v>
      </c>
      <c r="G25" s="11" t="s">
        <v>1</v>
      </c>
      <c r="I25" s="67">
        <f t="shared" si="5"/>
        <v>5</v>
      </c>
      <c r="J25" s="68" t="s">
        <v>59</v>
      </c>
      <c r="K25" s="66" t="s">
        <v>7</v>
      </c>
      <c r="M25" s="62">
        <f t="shared" ref="M25:M39" si="6">M24+1</f>
        <v>22</v>
      </c>
      <c r="N25" s="8"/>
      <c r="O25" s="11"/>
    </row>
    <row r="26" spans="1:23" x14ac:dyDescent="0.3">
      <c r="A26" s="82"/>
      <c r="B26" s="82"/>
      <c r="C26" s="83"/>
      <c r="E26" s="62">
        <f t="shared" si="0"/>
        <v>23</v>
      </c>
      <c r="F26" s="8" t="s">
        <v>102</v>
      </c>
      <c r="G26" s="11" t="s">
        <v>1</v>
      </c>
      <c r="I26" s="67">
        <f t="shared" si="5"/>
        <v>6</v>
      </c>
      <c r="J26" s="72" t="s">
        <v>217</v>
      </c>
      <c r="K26" s="66" t="s">
        <v>7</v>
      </c>
      <c r="M26" s="62">
        <f t="shared" si="6"/>
        <v>23</v>
      </c>
      <c r="N26" s="8"/>
      <c r="O26" s="11"/>
    </row>
    <row r="27" spans="1:23" x14ac:dyDescent="0.3">
      <c r="A27" s="82"/>
      <c r="B27" s="82"/>
      <c r="C27" s="83"/>
      <c r="E27" s="62">
        <f t="shared" si="0"/>
        <v>24</v>
      </c>
      <c r="F27" s="8" t="s">
        <v>104</v>
      </c>
      <c r="G27" s="11" t="s">
        <v>1</v>
      </c>
      <c r="I27" s="67">
        <f t="shared" si="5"/>
        <v>7</v>
      </c>
      <c r="J27" s="68" t="s">
        <v>76</v>
      </c>
      <c r="K27" s="66" t="s">
        <v>7</v>
      </c>
      <c r="M27" s="62">
        <f t="shared" si="6"/>
        <v>24</v>
      </c>
      <c r="N27" s="8"/>
      <c r="O27" s="11"/>
    </row>
    <row r="28" spans="1:23" x14ac:dyDescent="0.3">
      <c r="A28" s="82"/>
      <c r="B28" s="82"/>
      <c r="C28" s="83"/>
      <c r="E28" s="62">
        <f t="shared" si="0"/>
        <v>25</v>
      </c>
      <c r="F28" s="71" t="s">
        <v>105</v>
      </c>
      <c r="G28" s="11" t="s">
        <v>1</v>
      </c>
      <c r="I28" s="67">
        <f t="shared" si="5"/>
        <v>8</v>
      </c>
      <c r="J28" s="68" t="s">
        <v>78</v>
      </c>
      <c r="K28" s="66" t="s">
        <v>7</v>
      </c>
      <c r="M28" s="62">
        <f t="shared" si="6"/>
        <v>25</v>
      </c>
      <c r="N28" s="8"/>
      <c r="O28" s="11"/>
    </row>
    <row r="29" spans="1:23" x14ac:dyDescent="0.3">
      <c r="A29" s="82"/>
      <c r="B29" s="82"/>
      <c r="C29" s="83"/>
      <c r="E29" s="62">
        <f t="shared" si="0"/>
        <v>26</v>
      </c>
      <c r="F29" s="71" t="s">
        <v>106</v>
      </c>
      <c r="G29" s="11" t="s">
        <v>1</v>
      </c>
      <c r="I29" s="67">
        <f t="shared" si="5"/>
        <v>9</v>
      </c>
      <c r="J29" s="68" t="s">
        <v>93</v>
      </c>
      <c r="K29" s="66" t="s">
        <v>7</v>
      </c>
      <c r="M29" s="62">
        <f t="shared" si="6"/>
        <v>26</v>
      </c>
      <c r="N29" s="8"/>
      <c r="O29" s="11"/>
    </row>
    <row r="30" spans="1:23" x14ac:dyDescent="0.3">
      <c r="A30" s="82"/>
      <c r="B30" s="82"/>
      <c r="C30" s="83"/>
      <c r="E30" s="62">
        <f t="shared" si="0"/>
        <v>27</v>
      </c>
      <c r="F30" s="71" t="s">
        <v>118</v>
      </c>
      <c r="G30" s="11" t="s">
        <v>1</v>
      </c>
      <c r="I30" s="67">
        <f t="shared" si="5"/>
        <v>10</v>
      </c>
      <c r="J30" s="72" t="s">
        <v>218</v>
      </c>
      <c r="K30" s="66" t="s">
        <v>7</v>
      </c>
      <c r="M30" s="62">
        <f t="shared" si="6"/>
        <v>27</v>
      </c>
      <c r="N30" s="8"/>
      <c r="O30" s="11"/>
    </row>
    <row r="31" spans="1:23" x14ac:dyDescent="0.3">
      <c r="A31" s="82"/>
      <c r="B31" s="82"/>
      <c r="C31" s="83"/>
      <c r="E31" s="62">
        <f t="shared" si="0"/>
        <v>28</v>
      </c>
      <c r="F31" s="68" t="s">
        <v>119</v>
      </c>
      <c r="G31" s="11" t="s">
        <v>1</v>
      </c>
      <c r="I31" s="67">
        <f t="shared" si="5"/>
        <v>11</v>
      </c>
      <c r="J31" s="68" t="s">
        <v>103</v>
      </c>
      <c r="K31" s="66" t="s">
        <v>7</v>
      </c>
      <c r="M31" s="62">
        <f t="shared" si="6"/>
        <v>28</v>
      </c>
      <c r="N31" s="8"/>
      <c r="O31" s="11"/>
    </row>
    <row r="32" spans="1:23" x14ac:dyDescent="0.3">
      <c r="A32" s="82"/>
      <c r="B32" s="82"/>
      <c r="C32" s="83"/>
      <c r="E32" s="62">
        <f t="shared" si="0"/>
        <v>29</v>
      </c>
      <c r="F32" s="68" t="s">
        <v>120</v>
      </c>
      <c r="G32" s="11" t="s">
        <v>1</v>
      </c>
      <c r="I32" s="67">
        <f t="shared" si="5"/>
        <v>12</v>
      </c>
      <c r="J32" s="68" t="s">
        <v>107</v>
      </c>
      <c r="K32" s="66" t="s">
        <v>7</v>
      </c>
      <c r="M32" s="62">
        <f t="shared" si="6"/>
        <v>29</v>
      </c>
      <c r="N32" s="8"/>
      <c r="O32" s="11"/>
    </row>
    <row r="33" spans="1:15" x14ac:dyDescent="0.3">
      <c r="A33" s="82"/>
      <c r="B33" s="82"/>
      <c r="C33" s="83"/>
      <c r="E33" s="62">
        <f t="shared" si="0"/>
        <v>30</v>
      </c>
      <c r="F33" s="8" t="s">
        <v>125</v>
      </c>
      <c r="G33" s="11" t="s">
        <v>1</v>
      </c>
      <c r="I33" s="67">
        <f t="shared" si="5"/>
        <v>13</v>
      </c>
      <c r="J33" s="68" t="s">
        <v>108</v>
      </c>
      <c r="K33" s="66" t="s">
        <v>7</v>
      </c>
      <c r="M33" s="62">
        <f t="shared" si="6"/>
        <v>30</v>
      </c>
      <c r="N33" s="8"/>
      <c r="O33" s="11"/>
    </row>
    <row r="34" spans="1:15" x14ac:dyDescent="0.3">
      <c r="A34" s="82"/>
      <c r="B34" s="82"/>
      <c r="C34" s="83"/>
      <c r="E34" s="62">
        <f t="shared" si="0"/>
        <v>31</v>
      </c>
      <c r="F34" s="8" t="s">
        <v>128</v>
      </c>
      <c r="G34" s="11" t="s">
        <v>1</v>
      </c>
      <c r="I34" s="67">
        <f t="shared" si="5"/>
        <v>14</v>
      </c>
      <c r="J34" s="68" t="s">
        <v>126</v>
      </c>
      <c r="K34" s="66" t="s">
        <v>7</v>
      </c>
      <c r="M34" s="62">
        <f t="shared" si="6"/>
        <v>31</v>
      </c>
      <c r="N34" s="8"/>
      <c r="O34" s="11"/>
    </row>
    <row r="35" spans="1:15" x14ac:dyDescent="0.3">
      <c r="A35" s="82"/>
      <c r="B35" s="82"/>
      <c r="C35" s="83"/>
      <c r="E35" s="62">
        <f t="shared" si="0"/>
        <v>32</v>
      </c>
      <c r="F35" s="8" t="s">
        <v>137</v>
      </c>
      <c r="G35" s="11" t="s">
        <v>1</v>
      </c>
      <c r="I35" s="67">
        <f t="shared" si="5"/>
        <v>15</v>
      </c>
      <c r="J35" s="72" t="s">
        <v>219</v>
      </c>
      <c r="K35" s="66" t="s">
        <v>7</v>
      </c>
      <c r="M35" s="62">
        <f t="shared" si="6"/>
        <v>32</v>
      </c>
      <c r="N35" s="8"/>
      <c r="O35" s="11"/>
    </row>
    <row r="36" spans="1:15" x14ac:dyDescent="0.3">
      <c r="A36" s="84"/>
      <c r="B36" s="81"/>
      <c r="C36" s="85"/>
      <c r="E36" s="62">
        <f t="shared" si="0"/>
        <v>33</v>
      </c>
      <c r="F36" s="8" t="s">
        <v>144</v>
      </c>
      <c r="G36" s="29" t="s">
        <v>1</v>
      </c>
      <c r="I36" s="67">
        <f t="shared" si="5"/>
        <v>16</v>
      </c>
      <c r="J36" s="60" t="s">
        <v>131</v>
      </c>
      <c r="K36" s="66" t="s">
        <v>7</v>
      </c>
      <c r="M36" s="62">
        <f t="shared" si="6"/>
        <v>33</v>
      </c>
      <c r="N36" s="17"/>
      <c r="O36" s="11"/>
    </row>
    <row r="37" spans="1:15" x14ac:dyDescent="0.3">
      <c r="A37" s="84"/>
      <c r="B37" s="81"/>
      <c r="C37" s="85"/>
      <c r="E37" s="62">
        <f t="shared" ref="E37:E63" si="7">E36+1</f>
        <v>34</v>
      </c>
      <c r="F37" s="8" t="s">
        <v>146</v>
      </c>
      <c r="G37" s="11" t="s">
        <v>1</v>
      </c>
      <c r="I37" s="67">
        <f t="shared" si="5"/>
        <v>17</v>
      </c>
      <c r="J37" s="60" t="s">
        <v>133</v>
      </c>
      <c r="K37" s="66" t="s">
        <v>7</v>
      </c>
      <c r="M37" s="62">
        <f t="shared" si="6"/>
        <v>34</v>
      </c>
      <c r="N37" s="17"/>
      <c r="O37" s="11"/>
    </row>
    <row r="38" spans="1:15" x14ac:dyDescent="0.3">
      <c r="A38" s="84"/>
      <c r="B38" s="81"/>
      <c r="C38" s="85"/>
      <c r="E38" s="62">
        <f t="shared" si="7"/>
        <v>35</v>
      </c>
      <c r="F38" s="8" t="s">
        <v>152</v>
      </c>
      <c r="G38" s="11" t="s">
        <v>1</v>
      </c>
      <c r="I38" s="67">
        <f t="shared" si="5"/>
        <v>18</v>
      </c>
      <c r="J38" s="60" t="s">
        <v>134</v>
      </c>
      <c r="K38" s="66" t="s">
        <v>7</v>
      </c>
      <c r="M38" s="62">
        <f t="shared" si="6"/>
        <v>35</v>
      </c>
      <c r="N38" s="17"/>
      <c r="O38" s="11"/>
    </row>
    <row r="39" spans="1:15" x14ac:dyDescent="0.3">
      <c r="A39" s="84"/>
      <c r="B39" s="81"/>
      <c r="C39" s="85"/>
      <c r="E39" s="62">
        <f t="shared" si="7"/>
        <v>36</v>
      </c>
      <c r="F39" s="8" t="s">
        <v>156</v>
      </c>
      <c r="G39" s="11" t="s">
        <v>1</v>
      </c>
      <c r="I39" s="67">
        <f t="shared" si="5"/>
        <v>19</v>
      </c>
      <c r="J39" s="60" t="s">
        <v>136</v>
      </c>
      <c r="K39" s="66" t="s">
        <v>7</v>
      </c>
      <c r="M39" s="62">
        <f t="shared" si="6"/>
        <v>36</v>
      </c>
      <c r="N39" s="17"/>
      <c r="O39" s="11"/>
    </row>
    <row r="40" spans="1:15" x14ac:dyDescent="0.3">
      <c r="A40" s="84"/>
      <c r="B40" s="81"/>
      <c r="C40" s="85"/>
      <c r="E40" s="62">
        <f t="shared" si="7"/>
        <v>37</v>
      </c>
      <c r="F40" s="8" t="s">
        <v>159</v>
      </c>
      <c r="G40" s="11" t="s">
        <v>1</v>
      </c>
      <c r="I40" s="67">
        <f t="shared" si="5"/>
        <v>20</v>
      </c>
      <c r="J40" s="60" t="s">
        <v>141</v>
      </c>
      <c r="K40" s="66" t="s">
        <v>7</v>
      </c>
      <c r="M40" s="62"/>
      <c r="N40" s="17"/>
      <c r="O40" s="11"/>
    </row>
    <row r="41" spans="1:15" x14ac:dyDescent="0.3">
      <c r="A41" s="84"/>
      <c r="B41" s="81"/>
      <c r="C41" s="85"/>
      <c r="E41" s="62">
        <f t="shared" si="7"/>
        <v>38</v>
      </c>
      <c r="F41" s="8" t="s">
        <v>160</v>
      </c>
      <c r="G41" s="11" t="s">
        <v>1</v>
      </c>
      <c r="I41" s="67">
        <f t="shared" si="5"/>
        <v>21</v>
      </c>
      <c r="J41" s="60" t="s">
        <v>143</v>
      </c>
      <c r="K41" s="66" t="s">
        <v>7</v>
      </c>
      <c r="M41" s="62"/>
      <c r="N41" s="17"/>
      <c r="O41" s="11"/>
    </row>
    <row r="42" spans="1:15" x14ac:dyDescent="0.3">
      <c r="A42" s="84"/>
      <c r="B42" s="81"/>
      <c r="C42" s="85"/>
      <c r="E42" s="62">
        <f t="shared" si="7"/>
        <v>39</v>
      </c>
      <c r="F42" s="8" t="s">
        <v>166</v>
      </c>
      <c r="G42" s="11" t="s">
        <v>1</v>
      </c>
      <c r="I42" s="67">
        <f t="shared" si="5"/>
        <v>22</v>
      </c>
      <c r="J42" s="60" t="s">
        <v>147</v>
      </c>
      <c r="K42" s="66" t="s">
        <v>7</v>
      </c>
      <c r="M42" s="62"/>
      <c r="N42" s="17"/>
      <c r="O42" s="11"/>
    </row>
    <row r="43" spans="1:15" x14ac:dyDescent="0.3">
      <c r="A43" s="84"/>
      <c r="B43" s="81"/>
      <c r="C43" s="85"/>
      <c r="E43" s="62">
        <f t="shared" si="7"/>
        <v>40</v>
      </c>
      <c r="F43" s="8" t="s">
        <v>169</v>
      </c>
      <c r="G43" s="11" t="s">
        <v>1</v>
      </c>
      <c r="I43" s="67">
        <f t="shared" si="5"/>
        <v>23</v>
      </c>
      <c r="J43" s="60" t="s">
        <v>148</v>
      </c>
      <c r="K43" s="66" t="s">
        <v>7</v>
      </c>
      <c r="M43" s="62"/>
      <c r="N43" s="17"/>
      <c r="O43" s="11"/>
    </row>
    <row r="44" spans="1:15" x14ac:dyDescent="0.3">
      <c r="A44" s="84"/>
      <c r="B44" s="81"/>
      <c r="C44" s="85"/>
      <c r="E44" s="62">
        <f t="shared" si="7"/>
        <v>41</v>
      </c>
      <c r="F44" s="8" t="s">
        <v>170</v>
      </c>
      <c r="G44" s="29" t="s">
        <v>1</v>
      </c>
      <c r="I44" s="67">
        <f t="shared" si="5"/>
        <v>24</v>
      </c>
      <c r="J44" s="60" t="s">
        <v>153</v>
      </c>
      <c r="K44" s="66" t="s">
        <v>7</v>
      </c>
      <c r="M44" s="62"/>
      <c r="N44" s="17"/>
      <c r="O44" s="11"/>
    </row>
    <row r="45" spans="1:15" x14ac:dyDescent="0.3">
      <c r="A45" s="84"/>
      <c r="B45" s="81"/>
      <c r="C45" s="85"/>
      <c r="E45" s="62">
        <f t="shared" si="7"/>
        <v>42</v>
      </c>
      <c r="F45" s="8" t="s">
        <v>171</v>
      </c>
      <c r="G45" s="11" t="s">
        <v>1</v>
      </c>
      <c r="I45" s="67">
        <f t="shared" si="5"/>
        <v>25</v>
      </c>
      <c r="J45" s="60" t="s">
        <v>154</v>
      </c>
      <c r="K45" s="66" t="s">
        <v>7</v>
      </c>
      <c r="M45" s="62"/>
      <c r="N45" s="17"/>
      <c r="O45" s="11"/>
    </row>
    <row r="46" spans="1:15" x14ac:dyDescent="0.3">
      <c r="A46" s="84"/>
      <c r="B46" s="81"/>
      <c r="C46" s="85"/>
      <c r="E46" s="62">
        <f t="shared" si="7"/>
        <v>43</v>
      </c>
      <c r="F46" s="8" t="s">
        <v>174</v>
      </c>
      <c r="G46" s="11" t="s">
        <v>1</v>
      </c>
      <c r="I46" s="67">
        <f t="shared" si="5"/>
        <v>26</v>
      </c>
      <c r="J46" s="60" t="s">
        <v>157</v>
      </c>
      <c r="K46" s="66" t="s">
        <v>7</v>
      </c>
      <c r="M46" s="62"/>
      <c r="N46" s="17"/>
      <c r="O46" s="11"/>
    </row>
    <row r="47" spans="1:15" ht="19.5" thickBot="1" x14ac:dyDescent="0.35">
      <c r="E47" s="62">
        <f t="shared" si="7"/>
        <v>44</v>
      </c>
      <c r="F47" s="8" t="s">
        <v>182</v>
      </c>
      <c r="G47" s="11" t="s">
        <v>1</v>
      </c>
      <c r="I47" s="67">
        <f t="shared" si="5"/>
        <v>27</v>
      </c>
      <c r="J47" s="60" t="s">
        <v>158</v>
      </c>
      <c r="K47" s="66" t="s">
        <v>7</v>
      </c>
      <c r="M47" s="62"/>
      <c r="N47" s="8"/>
      <c r="O47" s="11"/>
    </row>
    <row r="48" spans="1:15" ht="19.5" thickBot="1" x14ac:dyDescent="0.35">
      <c r="A48" s="92" t="s">
        <v>12</v>
      </c>
      <c r="B48" s="93"/>
      <c r="C48" s="94"/>
      <c r="E48" s="62">
        <f t="shared" si="7"/>
        <v>45</v>
      </c>
      <c r="F48" s="12" t="s">
        <v>228</v>
      </c>
      <c r="G48" s="11" t="s">
        <v>1</v>
      </c>
      <c r="I48" s="67">
        <f t="shared" si="5"/>
        <v>28</v>
      </c>
      <c r="J48" s="69" t="s">
        <v>164</v>
      </c>
      <c r="K48" s="66" t="s">
        <v>7</v>
      </c>
      <c r="M48" s="62"/>
      <c r="N48" s="12"/>
      <c r="O48" s="11"/>
    </row>
    <row r="49" spans="1:15" x14ac:dyDescent="0.3">
      <c r="A49" s="62">
        <v>1</v>
      </c>
      <c r="B49" s="8" t="s">
        <v>65</v>
      </c>
      <c r="C49" s="29" t="s">
        <v>6</v>
      </c>
      <c r="E49" s="62">
        <f t="shared" si="7"/>
        <v>46</v>
      </c>
      <c r="F49" s="8" t="s">
        <v>190</v>
      </c>
      <c r="G49" s="11" t="s">
        <v>1</v>
      </c>
      <c r="I49" s="67">
        <f t="shared" si="5"/>
        <v>29</v>
      </c>
      <c r="J49" s="69" t="s">
        <v>173</v>
      </c>
      <c r="K49" s="66" t="s">
        <v>7</v>
      </c>
      <c r="M49" s="62"/>
      <c r="N49" s="17"/>
      <c r="O49" s="11"/>
    </row>
    <row r="50" spans="1:15" x14ac:dyDescent="0.3">
      <c r="A50" s="62">
        <f>A49+1</f>
        <v>2</v>
      </c>
      <c r="B50" s="17" t="s">
        <v>75</v>
      </c>
      <c r="C50" s="29" t="s">
        <v>6</v>
      </c>
      <c r="E50" s="62">
        <f t="shared" si="7"/>
        <v>47</v>
      </c>
      <c r="F50" s="8" t="s">
        <v>196</v>
      </c>
      <c r="G50" s="11" t="s">
        <v>1</v>
      </c>
      <c r="I50" s="67">
        <f t="shared" si="5"/>
        <v>30</v>
      </c>
      <c r="J50" s="60" t="s">
        <v>177</v>
      </c>
      <c r="K50" s="66" t="s">
        <v>7</v>
      </c>
      <c r="M50" s="62"/>
      <c r="N50" s="8"/>
      <c r="O50" s="11"/>
    </row>
    <row r="51" spans="1:15" x14ac:dyDescent="0.3">
      <c r="A51" s="62">
        <f t="shared" ref="A51:A56" si="8">A50+1</f>
        <v>3</v>
      </c>
      <c r="B51" s="71" t="s">
        <v>85</v>
      </c>
      <c r="C51" s="29" t="s">
        <v>6</v>
      </c>
      <c r="E51" s="62">
        <f t="shared" si="7"/>
        <v>48</v>
      </c>
      <c r="F51" s="8" t="s">
        <v>199</v>
      </c>
      <c r="G51" s="11" t="s">
        <v>1</v>
      </c>
      <c r="I51" s="67">
        <f t="shared" si="5"/>
        <v>31</v>
      </c>
      <c r="J51" s="60" t="s">
        <v>180</v>
      </c>
      <c r="K51" s="66" t="s">
        <v>7</v>
      </c>
      <c r="M51" s="62"/>
      <c r="N51" s="12"/>
      <c r="O51" s="11"/>
    </row>
    <row r="52" spans="1:15" x14ac:dyDescent="0.3">
      <c r="A52" s="62">
        <f t="shared" si="8"/>
        <v>4</v>
      </c>
      <c r="B52" s="71" t="s">
        <v>91</v>
      </c>
      <c r="C52" s="29" t="s">
        <v>6</v>
      </c>
      <c r="E52" s="62">
        <f t="shared" si="7"/>
        <v>49</v>
      </c>
      <c r="F52" s="17" t="s">
        <v>200</v>
      </c>
      <c r="G52" s="29" t="s">
        <v>1</v>
      </c>
      <c r="I52" s="67">
        <f t="shared" si="5"/>
        <v>32</v>
      </c>
      <c r="J52" s="60" t="s">
        <v>183</v>
      </c>
      <c r="K52" s="66" t="s">
        <v>7</v>
      </c>
      <c r="M52" s="62"/>
      <c r="N52" s="8"/>
      <c r="O52" s="11"/>
    </row>
    <row r="53" spans="1:15" x14ac:dyDescent="0.3">
      <c r="A53" s="62">
        <f t="shared" si="8"/>
        <v>5</v>
      </c>
      <c r="B53" s="8" t="s">
        <v>135</v>
      </c>
      <c r="C53" s="29" t="s">
        <v>6</v>
      </c>
      <c r="E53" s="62">
        <f t="shared" si="7"/>
        <v>50</v>
      </c>
      <c r="F53" s="8" t="s">
        <v>201</v>
      </c>
      <c r="G53" s="18" t="s">
        <v>1</v>
      </c>
      <c r="I53" s="67">
        <f t="shared" si="5"/>
        <v>33</v>
      </c>
      <c r="J53" s="60" t="s">
        <v>186</v>
      </c>
      <c r="K53" s="66" t="s">
        <v>7</v>
      </c>
      <c r="M53" s="62"/>
      <c r="N53" s="12"/>
      <c r="O53" s="11"/>
    </row>
    <row r="54" spans="1:15" x14ac:dyDescent="0.3">
      <c r="A54" s="62">
        <f t="shared" si="8"/>
        <v>6</v>
      </c>
      <c r="B54" s="8" t="s">
        <v>138</v>
      </c>
      <c r="C54" s="29" t="s">
        <v>6</v>
      </c>
      <c r="E54" s="62">
        <f t="shared" si="7"/>
        <v>51</v>
      </c>
      <c r="F54" s="8" t="s">
        <v>202</v>
      </c>
      <c r="G54" s="11" t="s">
        <v>1</v>
      </c>
      <c r="I54" s="67">
        <f t="shared" si="5"/>
        <v>34</v>
      </c>
      <c r="J54" s="60" t="s">
        <v>193</v>
      </c>
      <c r="K54" s="66" t="s">
        <v>7</v>
      </c>
      <c r="M54" s="62"/>
      <c r="N54" s="8"/>
      <c r="O54" s="11"/>
    </row>
    <row r="55" spans="1:15" x14ac:dyDescent="0.3">
      <c r="A55" s="62">
        <f t="shared" si="8"/>
        <v>7</v>
      </c>
      <c r="B55" s="8" t="s">
        <v>172</v>
      </c>
      <c r="C55" s="29" t="s">
        <v>6</v>
      </c>
      <c r="E55" s="62">
        <f t="shared" si="7"/>
        <v>52</v>
      </c>
      <c r="F55" s="8" t="s">
        <v>203</v>
      </c>
      <c r="G55" s="11" t="s">
        <v>1</v>
      </c>
      <c r="I55" s="67">
        <f t="shared" si="5"/>
        <v>35</v>
      </c>
      <c r="J55" s="70" t="s">
        <v>195</v>
      </c>
      <c r="K55" s="66" t="s">
        <v>7</v>
      </c>
      <c r="M55" s="62"/>
      <c r="N55" s="8"/>
      <c r="O55" s="11"/>
    </row>
    <row r="56" spans="1:15" x14ac:dyDescent="0.3">
      <c r="A56" s="62">
        <f t="shared" si="8"/>
        <v>8</v>
      </c>
      <c r="B56" s="8" t="s">
        <v>179</v>
      </c>
      <c r="C56" s="29" t="s">
        <v>6</v>
      </c>
      <c r="E56" s="62">
        <f t="shared" si="7"/>
        <v>53</v>
      </c>
      <c r="F56" s="17" t="s">
        <v>204</v>
      </c>
      <c r="G56" s="29" t="s">
        <v>1</v>
      </c>
      <c r="I56" s="67">
        <f t="shared" si="5"/>
        <v>36</v>
      </c>
      <c r="J56" s="47" t="s">
        <v>198</v>
      </c>
      <c r="K56" s="78" t="s">
        <v>7</v>
      </c>
      <c r="M56" s="62"/>
      <c r="N56" s="8"/>
      <c r="O56" s="11"/>
    </row>
    <row r="57" spans="1:15" x14ac:dyDescent="0.3">
      <c r="A57" s="10"/>
      <c r="B57" s="8"/>
      <c r="C57" s="29"/>
      <c r="E57" s="62">
        <f t="shared" si="7"/>
        <v>54</v>
      </c>
      <c r="F57" s="17" t="s">
        <v>206</v>
      </c>
      <c r="G57" s="29" t="s">
        <v>1</v>
      </c>
      <c r="I57" s="67">
        <f t="shared" si="5"/>
        <v>37</v>
      </c>
      <c r="J57" s="8" t="s">
        <v>205</v>
      </c>
      <c r="K57" s="66" t="s">
        <v>7</v>
      </c>
      <c r="M57" s="62"/>
      <c r="N57" s="8"/>
      <c r="O57" s="11"/>
    </row>
    <row r="58" spans="1:15" x14ac:dyDescent="0.3">
      <c r="A58" s="10"/>
      <c r="B58" s="8"/>
      <c r="C58" s="29"/>
      <c r="E58" s="62">
        <f t="shared" si="7"/>
        <v>55</v>
      </c>
      <c r="F58" s="17" t="s">
        <v>207</v>
      </c>
      <c r="G58" s="29" t="s">
        <v>1</v>
      </c>
      <c r="I58" s="67">
        <f t="shared" si="5"/>
        <v>38</v>
      </c>
      <c r="J58" s="8" t="s">
        <v>214</v>
      </c>
      <c r="K58" s="78" t="s">
        <v>7</v>
      </c>
      <c r="M58" s="62"/>
      <c r="N58" s="8"/>
      <c r="O58" s="11"/>
    </row>
    <row r="59" spans="1:15" x14ac:dyDescent="0.3">
      <c r="A59" s="10"/>
      <c r="B59" s="8"/>
      <c r="C59" s="29"/>
      <c r="E59" s="62">
        <f t="shared" si="7"/>
        <v>56</v>
      </c>
      <c r="F59" s="17" t="s">
        <v>208</v>
      </c>
      <c r="G59" s="29" t="s">
        <v>1</v>
      </c>
      <c r="I59" s="67"/>
      <c r="J59" s="8"/>
      <c r="K59" s="74"/>
      <c r="M59" s="62"/>
      <c r="N59" s="8"/>
      <c r="O59" s="11"/>
    </row>
    <row r="60" spans="1:15" x14ac:dyDescent="0.3">
      <c r="A60" s="10"/>
      <c r="B60" s="8"/>
      <c r="C60" s="29"/>
      <c r="E60" s="62">
        <f t="shared" si="7"/>
        <v>57</v>
      </c>
      <c r="F60" s="17" t="s">
        <v>212</v>
      </c>
      <c r="G60" s="29" t="s">
        <v>1</v>
      </c>
      <c r="I60" s="67"/>
      <c r="J60" s="8"/>
      <c r="K60" s="74"/>
      <c r="M60" s="62"/>
      <c r="N60" s="8"/>
      <c r="O60" s="11"/>
    </row>
    <row r="61" spans="1:15" ht="19.5" thickBot="1" x14ac:dyDescent="0.35">
      <c r="A61" s="10"/>
      <c r="B61" s="8"/>
      <c r="C61" s="29"/>
      <c r="E61" s="62">
        <f t="shared" si="7"/>
        <v>58</v>
      </c>
      <c r="F61" s="17" t="s">
        <v>213</v>
      </c>
      <c r="G61" s="29" t="s">
        <v>1</v>
      </c>
      <c r="I61" s="75"/>
      <c r="J61" s="76"/>
      <c r="K61" s="77"/>
      <c r="M61" s="62"/>
      <c r="N61" s="8"/>
      <c r="O61" s="11"/>
    </row>
    <row r="62" spans="1:15" ht="19.5" thickBot="1" x14ac:dyDescent="0.35">
      <c r="A62" s="10"/>
      <c r="B62" s="8"/>
      <c r="C62" s="29"/>
      <c r="E62" s="62">
        <f t="shared" si="7"/>
        <v>59</v>
      </c>
      <c r="F62" s="30" t="s">
        <v>221</v>
      </c>
      <c r="G62" s="29" t="s">
        <v>1</v>
      </c>
      <c r="I62" s="25">
        <f>I56</f>
        <v>36</v>
      </c>
      <c r="J62" s="26" t="s">
        <v>21</v>
      </c>
      <c r="K62" s="1">
        <v>11</v>
      </c>
      <c r="M62" s="62"/>
      <c r="N62" s="8"/>
      <c r="O62" s="11"/>
    </row>
    <row r="63" spans="1:15" ht="19.5" thickBot="1" x14ac:dyDescent="0.35">
      <c r="A63" s="10"/>
      <c r="B63" s="8"/>
      <c r="C63" s="29"/>
      <c r="E63" s="62">
        <f t="shared" si="7"/>
        <v>60</v>
      </c>
      <c r="F63" s="12" t="s">
        <v>222</v>
      </c>
      <c r="G63" s="29" t="s">
        <v>1</v>
      </c>
      <c r="M63" s="62"/>
      <c r="N63" s="8"/>
      <c r="O63" s="11"/>
    </row>
    <row r="64" spans="1:15" ht="19.5" thickBot="1" x14ac:dyDescent="0.35">
      <c r="A64" s="10"/>
      <c r="B64" s="8"/>
      <c r="C64" s="29"/>
      <c r="E64" s="62">
        <f t="shared" ref="E64:E66" si="9">E63+1</f>
        <v>61</v>
      </c>
      <c r="F64" s="8"/>
      <c r="G64" s="16" t="s">
        <v>1</v>
      </c>
      <c r="I64" s="101" t="s">
        <v>18</v>
      </c>
      <c r="J64" s="102"/>
      <c r="K64" s="103"/>
      <c r="M64" s="62"/>
      <c r="N64" s="8"/>
      <c r="O64" s="11"/>
    </row>
    <row r="65" spans="1:15" x14ac:dyDescent="0.3">
      <c r="A65" s="10"/>
      <c r="B65" s="8"/>
      <c r="C65" s="29"/>
      <c r="E65" s="62">
        <f t="shared" si="9"/>
        <v>62</v>
      </c>
      <c r="F65" s="8"/>
      <c r="G65" s="16" t="s">
        <v>1</v>
      </c>
      <c r="I65" s="61">
        <v>1</v>
      </c>
      <c r="J65" s="40" t="s">
        <v>40</v>
      </c>
      <c r="K65" s="9" t="s">
        <v>4</v>
      </c>
      <c r="M65" s="62"/>
      <c r="N65" s="17"/>
      <c r="O65" s="11"/>
    </row>
    <row r="66" spans="1:15" x14ac:dyDescent="0.3">
      <c r="A66" s="10"/>
      <c r="B66" s="8"/>
      <c r="C66" s="29"/>
      <c r="E66" s="62">
        <f t="shared" si="9"/>
        <v>63</v>
      </c>
      <c r="F66" s="8"/>
      <c r="G66" s="11" t="s">
        <v>1</v>
      </c>
      <c r="I66" s="62">
        <f>I65+1</f>
        <v>2</v>
      </c>
      <c r="J66" s="17" t="s">
        <v>46</v>
      </c>
      <c r="K66" s="9" t="s">
        <v>4</v>
      </c>
      <c r="M66" s="62"/>
      <c r="N66" s="8"/>
      <c r="O66" s="11"/>
    </row>
    <row r="67" spans="1:15" x14ac:dyDescent="0.3">
      <c r="A67" s="10"/>
      <c r="B67" s="8"/>
      <c r="C67" s="29"/>
      <c r="E67" s="62">
        <f t="shared" ref="E67:E88" si="10">E66+1</f>
        <v>64</v>
      </c>
      <c r="F67" s="8"/>
      <c r="G67" s="16" t="s">
        <v>1</v>
      </c>
      <c r="I67" s="62">
        <f t="shared" ref="I67:I88" si="11">I66+1</f>
        <v>3</v>
      </c>
      <c r="J67" s="17" t="s">
        <v>51</v>
      </c>
      <c r="K67" s="9" t="s">
        <v>4</v>
      </c>
      <c r="M67" s="62"/>
      <c r="N67" s="8"/>
      <c r="O67" s="11"/>
    </row>
    <row r="68" spans="1:15" ht="19.5" thickBot="1" x14ac:dyDescent="0.35">
      <c r="A68" s="10"/>
      <c r="B68" s="8"/>
      <c r="C68" s="29"/>
      <c r="E68" s="62">
        <f t="shared" si="10"/>
        <v>65</v>
      </c>
      <c r="F68" s="17"/>
      <c r="G68" s="16" t="s">
        <v>1</v>
      </c>
      <c r="I68" s="62">
        <f t="shared" si="11"/>
        <v>4</v>
      </c>
      <c r="J68" s="17" t="s">
        <v>52</v>
      </c>
      <c r="K68" s="9" t="s">
        <v>4</v>
      </c>
      <c r="M68" s="62"/>
      <c r="N68" s="8"/>
      <c r="O68" s="11"/>
    </row>
    <row r="69" spans="1:15" ht="19.5" thickBot="1" x14ac:dyDescent="0.35">
      <c r="A69" s="25">
        <f>A68</f>
        <v>0</v>
      </c>
      <c r="B69" s="26"/>
      <c r="C69" s="1">
        <v>14</v>
      </c>
      <c r="E69" s="62">
        <f t="shared" si="10"/>
        <v>66</v>
      </c>
      <c r="F69" s="8"/>
      <c r="G69" s="29" t="s">
        <v>1</v>
      </c>
      <c r="I69" s="62">
        <f t="shared" si="11"/>
        <v>5</v>
      </c>
      <c r="J69" s="17" t="s">
        <v>61</v>
      </c>
      <c r="K69" s="9" t="s">
        <v>69</v>
      </c>
      <c r="M69" s="62"/>
      <c r="N69" s="8"/>
      <c r="O69" s="11"/>
    </row>
    <row r="70" spans="1:15" ht="19.5" thickBot="1" x14ac:dyDescent="0.35">
      <c r="C70" s="2"/>
      <c r="E70" s="62">
        <f t="shared" si="10"/>
        <v>67</v>
      </c>
      <c r="F70" s="8"/>
      <c r="G70" s="16" t="s">
        <v>1</v>
      </c>
      <c r="I70" s="62">
        <f t="shared" si="11"/>
        <v>6</v>
      </c>
      <c r="J70" s="8" t="s">
        <v>64</v>
      </c>
      <c r="K70" s="9" t="s">
        <v>4</v>
      </c>
      <c r="M70" s="62"/>
      <c r="N70" s="8"/>
      <c r="O70" s="11"/>
    </row>
    <row r="71" spans="1:15" ht="19.5" thickBot="1" x14ac:dyDescent="0.35">
      <c r="A71" s="92" t="s">
        <v>13</v>
      </c>
      <c r="B71" s="93"/>
      <c r="C71" s="94"/>
      <c r="E71" s="62">
        <f t="shared" si="10"/>
        <v>68</v>
      </c>
      <c r="F71" s="8"/>
      <c r="G71" s="16" t="s">
        <v>1</v>
      </c>
      <c r="I71" s="62">
        <f t="shared" si="11"/>
        <v>7</v>
      </c>
      <c r="J71" s="8" t="s">
        <v>68</v>
      </c>
      <c r="K71" s="9" t="s">
        <v>4</v>
      </c>
      <c r="M71" s="62"/>
      <c r="N71" s="12"/>
      <c r="O71" s="11"/>
    </row>
    <row r="72" spans="1:15" x14ac:dyDescent="0.3">
      <c r="A72" s="10">
        <v>1</v>
      </c>
      <c r="B72" s="8"/>
      <c r="C72" s="11"/>
      <c r="E72" s="62">
        <f t="shared" si="10"/>
        <v>69</v>
      </c>
      <c r="F72" s="8"/>
      <c r="G72" s="16" t="s">
        <v>1</v>
      </c>
      <c r="I72" s="62">
        <f t="shared" si="11"/>
        <v>8</v>
      </c>
      <c r="J72" s="8" t="s">
        <v>74</v>
      </c>
      <c r="K72" s="9" t="s">
        <v>4</v>
      </c>
      <c r="M72" s="62"/>
      <c r="N72" s="8"/>
      <c r="O72" s="11"/>
    </row>
    <row r="73" spans="1:15" x14ac:dyDescent="0.3">
      <c r="A73" s="10">
        <f>A72+1</f>
        <v>2</v>
      </c>
      <c r="B73" s="8"/>
      <c r="C73" s="11"/>
      <c r="E73" s="62">
        <f t="shared" si="10"/>
        <v>70</v>
      </c>
      <c r="F73" s="12"/>
      <c r="G73" s="11" t="s">
        <v>1</v>
      </c>
      <c r="I73" s="62">
        <f t="shared" si="11"/>
        <v>9</v>
      </c>
      <c r="J73" s="71" t="s">
        <v>95</v>
      </c>
      <c r="K73" s="9" t="s">
        <v>4</v>
      </c>
      <c r="M73" s="62"/>
      <c r="N73" s="12"/>
      <c r="O73" s="11"/>
    </row>
    <row r="74" spans="1:15" x14ac:dyDescent="0.3">
      <c r="A74" s="10">
        <f t="shared" ref="A74:A80" si="12">A73+1</f>
        <v>3</v>
      </c>
      <c r="B74" s="8"/>
      <c r="C74" s="16"/>
      <c r="E74" s="62">
        <f t="shared" si="10"/>
        <v>71</v>
      </c>
      <c r="F74" s="30"/>
      <c r="G74" s="18" t="s">
        <v>1</v>
      </c>
      <c r="I74" s="62">
        <f t="shared" si="11"/>
        <v>10</v>
      </c>
      <c r="J74" s="40" t="s">
        <v>98</v>
      </c>
      <c r="K74" s="9" t="s">
        <v>4</v>
      </c>
      <c r="M74" s="62"/>
      <c r="N74" s="8"/>
      <c r="O74" s="11"/>
    </row>
    <row r="75" spans="1:15" x14ac:dyDescent="0.3">
      <c r="A75" s="10">
        <f t="shared" si="12"/>
        <v>4</v>
      </c>
      <c r="B75" s="8"/>
      <c r="C75" s="11"/>
      <c r="E75" s="62">
        <f t="shared" si="10"/>
        <v>72</v>
      </c>
      <c r="F75" s="17"/>
      <c r="G75" s="29" t="s">
        <v>1</v>
      </c>
      <c r="I75" s="62">
        <f t="shared" si="11"/>
        <v>11</v>
      </c>
      <c r="J75" s="8" t="s">
        <v>114</v>
      </c>
      <c r="K75" s="9" t="s">
        <v>4</v>
      </c>
      <c r="M75" s="62"/>
      <c r="N75" s="8"/>
      <c r="O75" s="11"/>
    </row>
    <row r="76" spans="1:15" x14ac:dyDescent="0.3">
      <c r="A76" s="10">
        <f t="shared" si="12"/>
        <v>5</v>
      </c>
      <c r="B76" s="8"/>
      <c r="C76" s="16"/>
      <c r="E76" s="62">
        <f t="shared" si="10"/>
        <v>73</v>
      </c>
      <c r="F76" s="8"/>
      <c r="G76" s="11" t="s">
        <v>1</v>
      </c>
      <c r="I76" s="62">
        <f t="shared" si="11"/>
        <v>12</v>
      </c>
      <c r="J76" s="8" t="s">
        <v>121</v>
      </c>
      <c r="K76" s="9" t="s">
        <v>4</v>
      </c>
      <c r="M76" s="62"/>
      <c r="N76" s="8"/>
      <c r="O76" s="11"/>
    </row>
    <row r="77" spans="1:15" x14ac:dyDescent="0.3">
      <c r="A77" s="10">
        <f t="shared" si="12"/>
        <v>6</v>
      </c>
      <c r="B77" s="40"/>
      <c r="C77" s="7"/>
      <c r="E77" s="62">
        <f t="shared" si="10"/>
        <v>74</v>
      </c>
      <c r="F77" s="8"/>
      <c r="G77" s="29" t="s">
        <v>1</v>
      </c>
      <c r="I77" s="62">
        <f t="shared" si="11"/>
        <v>13</v>
      </c>
      <c r="J77" s="8" t="s">
        <v>122</v>
      </c>
      <c r="K77" s="9" t="s">
        <v>4</v>
      </c>
      <c r="M77" s="62"/>
      <c r="N77" s="12"/>
      <c r="O77" s="11"/>
    </row>
    <row r="78" spans="1:15" ht="19.5" thickBot="1" x14ac:dyDescent="0.35">
      <c r="A78" s="10">
        <f t="shared" si="12"/>
        <v>7</v>
      </c>
      <c r="B78" s="41"/>
      <c r="C78" s="9"/>
      <c r="E78" s="62">
        <f t="shared" si="10"/>
        <v>75</v>
      </c>
      <c r="F78" s="8"/>
      <c r="G78" s="29" t="s">
        <v>1</v>
      </c>
      <c r="I78" s="62">
        <f t="shared" si="11"/>
        <v>14</v>
      </c>
      <c r="J78" s="8" t="s">
        <v>129</v>
      </c>
      <c r="K78" s="9" t="s">
        <v>4</v>
      </c>
      <c r="M78" s="62"/>
      <c r="N78" s="8"/>
      <c r="O78" s="37"/>
    </row>
    <row r="79" spans="1:15" ht="19.5" thickBot="1" x14ac:dyDescent="0.35">
      <c r="A79" s="10">
        <f t="shared" si="12"/>
        <v>8</v>
      </c>
      <c r="B79" s="42"/>
      <c r="C79" s="9"/>
      <c r="E79" s="62">
        <f t="shared" si="10"/>
        <v>76</v>
      </c>
      <c r="F79" s="8"/>
      <c r="G79" s="11" t="s">
        <v>1</v>
      </c>
      <c r="I79" s="62">
        <f t="shared" si="11"/>
        <v>15</v>
      </c>
      <c r="J79" s="8" t="s">
        <v>151</v>
      </c>
      <c r="K79" s="9" t="s">
        <v>4</v>
      </c>
      <c r="M79" s="25">
        <f>M78</f>
        <v>0</v>
      </c>
      <c r="N79" s="26" t="s">
        <v>21</v>
      </c>
      <c r="O79" s="1">
        <v>40</v>
      </c>
    </row>
    <row r="80" spans="1:15" ht="18" customHeight="1" thickBot="1" x14ac:dyDescent="0.35">
      <c r="A80" s="10">
        <f t="shared" si="12"/>
        <v>9</v>
      </c>
      <c r="B80" s="23"/>
      <c r="C80" s="43"/>
      <c r="E80" s="62">
        <f t="shared" si="10"/>
        <v>77</v>
      </c>
      <c r="F80" s="8"/>
      <c r="G80" s="18" t="s">
        <v>1</v>
      </c>
      <c r="I80" s="62">
        <f t="shared" si="11"/>
        <v>16</v>
      </c>
      <c r="J80" s="8" t="s">
        <v>162</v>
      </c>
      <c r="K80" s="9" t="s">
        <v>4</v>
      </c>
    </row>
    <row r="81" spans="1:15" ht="20.25" customHeight="1" thickBot="1" x14ac:dyDescent="0.35">
      <c r="A81" s="25">
        <f>A80</f>
        <v>9</v>
      </c>
      <c r="B81" s="26" t="s">
        <v>21</v>
      </c>
      <c r="C81" s="1">
        <v>8</v>
      </c>
      <c r="E81" s="62">
        <f t="shared" si="10"/>
        <v>78</v>
      </c>
      <c r="F81" s="12"/>
      <c r="G81" s="29" t="s">
        <v>1</v>
      </c>
      <c r="I81" s="62">
        <f t="shared" si="11"/>
        <v>17</v>
      </c>
      <c r="J81" s="8" t="s">
        <v>167</v>
      </c>
      <c r="K81" s="9" t="s">
        <v>4</v>
      </c>
      <c r="M81" s="98" t="s">
        <v>20</v>
      </c>
      <c r="N81" s="99"/>
      <c r="O81" s="100"/>
    </row>
    <row r="82" spans="1:15" ht="19.5" thickBot="1" x14ac:dyDescent="0.35">
      <c r="E82" s="62">
        <f t="shared" si="10"/>
        <v>79</v>
      </c>
      <c r="F82" s="8"/>
      <c r="G82" s="11" t="s">
        <v>1</v>
      </c>
      <c r="I82" s="62">
        <f t="shared" si="11"/>
        <v>18</v>
      </c>
      <c r="J82" s="8" t="s">
        <v>176</v>
      </c>
      <c r="K82" s="9" t="s">
        <v>4</v>
      </c>
      <c r="M82" s="65">
        <v>1</v>
      </c>
      <c r="N82" s="44" t="s">
        <v>50</v>
      </c>
      <c r="O82" s="45" t="s">
        <v>2</v>
      </c>
    </row>
    <row r="83" spans="1:15" ht="19.5" thickBot="1" x14ac:dyDescent="0.35">
      <c r="A83" s="92" t="s">
        <v>14</v>
      </c>
      <c r="B83" s="93"/>
      <c r="C83" s="94"/>
      <c r="E83" s="62">
        <f t="shared" si="10"/>
        <v>80</v>
      </c>
      <c r="F83" s="8"/>
      <c r="G83" s="16" t="s">
        <v>1</v>
      </c>
      <c r="I83" s="62">
        <f t="shared" si="11"/>
        <v>19</v>
      </c>
      <c r="J83" s="8" t="s">
        <v>178</v>
      </c>
      <c r="K83" s="9" t="s">
        <v>4</v>
      </c>
      <c r="M83" s="62">
        <f>M82+1</f>
        <v>2</v>
      </c>
      <c r="N83" s="8" t="s">
        <v>53</v>
      </c>
      <c r="O83" s="11" t="s">
        <v>2</v>
      </c>
    </row>
    <row r="84" spans="1:15" x14ac:dyDescent="0.3">
      <c r="A84" s="62">
        <v>1</v>
      </c>
      <c r="B84" s="8" t="s">
        <v>100</v>
      </c>
      <c r="C84" s="11" t="s">
        <v>24</v>
      </c>
      <c r="E84" s="62">
        <f t="shared" si="10"/>
        <v>81</v>
      </c>
      <c r="F84" s="8"/>
      <c r="G84" s="29" t="s">
        <v>1</v>
      </c>
      <c r="I84" s="62">
        <f t="shared" si="11"/>
        <v>20</v>
      </c>
      <c r="J84" s="8" t="s">
        <v>184</v>
      </c>
      <c r="K84" s="9" t="s">
        <v>4</v>
      </c>
      <c r="M84" s="62">
        <f t="shared" ref="M84:M95" si="13">M83+1</f>
        <v>3</v>
      </c>
      <c r="N84" s="8" t="s">
        <v>55</v>
      </c>
      <c r="O84" s="11" t="s">
        <v>2</v>
      </c>
    </row>
    <row r="85" spans="1:15" x14ac:dyDescent="0.3">
      <c r="A85" s="62">
        <f>A84+1</f>
        <v>2</v>
      </c>
      <c r="B85" s="8" t="s">
        <v>111</v>
      </c>
      <c r="C85" s="11" t="s">
        <v>24</v>
      </c>
      <c r="E85" s="62">
        <f t="shared" si="10"/>
        <v>82</v>
      </c>
      <c r="F85" s="8"/>
      <c r="G85" s="29" t="s">
        <v>1</v>
      </c>
      <c r="I85" s="62">
        <f t="shared" si="11"/>
        <v>21</v>
      </c>
      <c r="J85" s="8" t="s">
        <v>189</v>
      </c>
      <c r="K85" s="9" t="s">
        <v>4</v>
      </c>
      <c r="M85" s="62">
        <f t="shared" si="13"/>
        <v>4</v>
      </c>
      <c r="N85" s="12" t="s">
        <v>220</v>
      </c>
      <c r="O85" s="11" t="s">
        <v>2</v>
      </c>
    </row>
    <row r="86" spans="1:15" x14ac:dyDescent="0.3">
      <c r="A86" s="62">
        <f t="shared" ref="A86" si="14">A85+1</f>
        <v>3</v>
      </c>
      <c r="B86" s="8" t="s">
        <v>155</v>
      </c>
      <c r="C86" s="11" t="s">
        <v>24</v>
      </c>
      <c r="E86" s="62">
        <f t="shared" si="10"/>
        <v>83</v>
      </c>
      <c r="F86" s="17"/>
      <c r="G86" s="11" t="s">
        <v>1</v>
      </c>
      <c r="I86" s="62">
        <f t="shared" si="11"/>
        <v>22</v>
      </c>
      <c r="J86" s="8" t="s">
        <v>191</v>
      </c>
      <c r="K86" s="9" t="s">
        <v>4</v>
      </c>
      <c r="M86" s="62">
        <f t="shared" si="13"/>
        <v>5</v>
      </c>
      <c r="N86" s="71" t="s">
        <v>84</v>
      </c>
      <c r="O86" s="11" t="s">
        <v>2</v>
      </c>
    </row>
    <row r="87" spans="1:15" x14ac:dyDescent="0.3">
      <c r="A87" s="62"/>
      <c r="B87" s="46"/>
      <c r="C87" s="11"/>
      <c r="E87" s="62">
        <f t="shared" si="10"/>
        <v>84</v>
      </c>
      <c r="F87" s="8"/>
      <c r="G87" s="29" t="s">
        <v>1</v>
      </c>
      <c r="I87" s="62">
        <f t="shared" si="11"/>
        <v>23</v>
      </c>
      <c r="J87" s="8" t="s">
        <v>192</v>
      </c>
      <c r="K87" s="9" t="s">
        <v>69</v>
      </c>
      <c r="M87" s="62">
        <f t="shared" si="13"/>
        <v>6</v>
      </c>
      <c r="N87" s="71" t="s">
        <v>88</v>
      </c>
      <c r="O87" s="29" t="s">
        <v>2</v>
      </c>
    </row>
    <row r="88" spans="1:15" x14ac:dyDescent="0.3">
      <c r="A88" s="62"/>
      <c r="B88" s="47"/>
      <c r="C88" s="58"/>
      <c r="E88" s="62">
        <f t="shared" si="10"/>
        <v>85</v>
      </c>
      <c r="F88" s="8"/>
      <c r="G88" s="29" t="s">
        <v>1</v>
      </c>
      <c r="I88" s="63">
        <f t="shared" si="11"/>
        <v>24</v>
      </c>
      <c r="J88" s="47" t="s">
        <v>194</v>
      </c>
      <c r="K88" s="60" t="s">
        <v>4</v>
      </c>
      <c r="M88" s="62">
        <f t="shared" si="13"/>
        <v>7</v>
      </c>
      <c r="N88" s="8" t="s">
        <v>112</v>
      </c>
      <c r="O88" s="11" t="s">
        <v>2</v>
      </c>
    </row>
    <row r="89" spans="1:15" x14ac:dyDescent="0.3">
      <c r="A89" s="74"/>
      <c r="B89" s="8"/>
      <c r="C89" s="60"/>
      <c r="E89" s="62"/>
      <c r="F89" s="8"/>
      <c r="G89" s="29"/>
      <c r="I89" s="74">
        <v>25</v>
      </c>
      <c r="J89" s="8" t="s">
        <v>209</v>
      </c>
      <c r="K89" s="60" t="s">
        <v>4</v>
      </c>
      <c r="M89" s="62">
        <f t="shared" si="13"/>
        <v>8</v>
      </c>
      <c r="N89" s="8" t="s">
        <v>127</v>
      </c>
      <c r="O89" s="11" t="s">
        <v>2</v>
      </c>
    </row>
    <row r="90" spans="1:15" x14ac:dyDescent="0.3">
      <c r="A90" s="74"/>
      <c r="B90" s="8"/>
      <c r="C90" s="60"/>
      <c r="E90" s="62"/>
      <c r="F90" s="8"/>
      <c r="G90" s="29"/>
      <c r="I90" s="74">
        <v>26</v>
      </c>
      <c r="J90" s="8" t="s">
        <v>215</v>
      </c>
      <c r="K90" s="60" t="s">
        <v>4</v>
      </c>
      <c r="M90" s="62">
        <f t="shared" si="13"/>
        <v>9</v>
      </c>
      <c r="N90" s="17" t="s">
        <v>139</v>
      </c>
      <c r="O90" s="60" t="s">
        <v>2</v>
      </c>
    </row>
    <row r="91" spans="1:15" x14ac:dyDescent="0.3">
      <c r="A91" s="74"/>
      <c r="B91" s="8"/>
      <c r="C91" s="60"/>
      <c r="E91" s="62"/>
      <c r="F91" s="8"/>
      <c r="G91" s="29"/>
      <c r="I91" s="8"/>
      <c r="J91" s="8"/>
      <c r="K91" s="60"/>
      <c r="M91" s="62">
        <f t="shared" si="13"/>
        <v>10</v>
      </c>
      <c r="N91" s="17" t="s">
        <v>145</v>
      </c>
      <c r="O91" s="60" t="s">
        <v>2</v>
      </c>
    </row>
    <row r="92" spans="1:15" x14ac:dyDescent="0.3">
      <c r="A92" s="74"/>
      <c r="B92" s="8"/>
      <c r="C92" s="60"/>
      <c r="E92" s="62"/>
      <c r="F92" s="8"/>
      <c r="G92" s="29"/>
      <c r="I92" s="8"/>
      <c r="J92" s="8"/>
      <c r="K92" s="60"/>
      <c r="M92" s="62">
        <f t="shared" si="13"/>
        <v>11</v>
      </c>
      <c r="N92" s="17" t="s">
        <v>181</v>
      </c>
      <c r="O92" s="60" t="s">
        <v>2</v>
      </c>
    </row>
    <row r="93" spans="1:15" x14ac:dyDescent="0.3">
      <c r="A93" s="74"/>
      <c r="B93" s="8"/>
      <c r="C93" s="60"/>
      <c r="E93" s="62"/>
      <c r="F93" s="8"/>
      <c r="G93" s="29"/>
      <c r="I93" s="8"/>
      <c r="J93" s="8"/>
      <c r="K93" s="60"/>
      <c r="M93" s="62">
        <f t="shared" si="13"/>
        <v>12</v>
      </c>
      <c r="N93" s="17" t="s">
        <v>187</v>
      </c>
      <c r="O93" s="60" t="s">
        <v>2</v>
      </c>
    </row>
    <row r="94" spans="1:15" ht="19.5" thickBot="1" x14ac:dyDescent="0.35">
      <c r="A94" s="80">
        <f>A88</f>
        <v>0</v>
      </c>
      <c r="B94" s="59" t="s">
        <v>21</v>
      </c>
      <c r="C94" s="55">
        <v>3</v>
      </c>
      <c r="E94" s="62"/>
      <c r="F94" s="27"/>
      <c r="G94" s="29"/>
      <c r="I94" s="53">
        <f>I88</f>
        <v>24</v>
      </c>
      <c r="J94" s="59" t="s">
        <v>21</v>
      </c>
      <c r="K94" s="55">
        <v>21</v>
      </c>
      <c r="M94" s="62">
        <f t="shared" si="13"/>
        <v>13</v>
      </c>
      <c r="N94" s="17" t="s">
        <v>188</v>
      </c>
      <c r="O94" s="60" t="s">
        <v>2</v>
      </c>
    </row>
    <row r="95" spans="1:15" x14ac:dyDescent="0.3">
      <c r="E95" s="62"/>
      <c r="F95" s="8"/>
      <c r="G95" s="18"/>
      <c r="I95" s="108" t="s">
        <v>140</v>
      </c>
      <c r="J95" s="109"/>
      <c r="K95" s="110"/>
      <c r="M95" s="62">
        <f t="shared" si="13"/>
        <v>14</v>
      </c>
      <c r="N95" s="17" t="s">
        <v>211</v>
      </c>
      <c r="O95" s="60" t="s">
        <v>2</v>
      </c>
    </row>
    <row r="96" spans="1:15" x14ac:dyDescent="0.3">
      <c r="E96" s="62"/>
      <c r="F96" s="8"/>
      <c r="G96" s="18"/>
      <c r="I96" s="79">
        <v>1</v>
      </c>
      <c r="J96" s="8" t="s">
        <v>113</v>
      </c>
      <c r="K96" s="60" t="s">
        <v>124</v>
      </c>
      <c r="M96" s="62"/>
      <c r="N96" s="17"/>
      <c r="O96" s="9"/>
    </row>
    <row r="97" spans="1:15" x14ac:dyDescent="0.3">
      <c r="E97" s="62"/>
      <c r="F97" s="8"/>
      <c r="G97" s="18"/>
      <c r="I97" s="79">
        <v>2</v>
      </c>
      <c r="J97" s="8" t="s">
        <v>123</v>
      </c>
      <c r="K97" s="60" t="s">
        <v>124</v>
      </c>
      <c r="M97" s="62"/>
      <c r="N97" s="17"/>
      <c r="O97" s="11"/>
    </row>
    <row r="98" spans="1:15" x14ac:dyDescent="0.3">
      <c r="E98" s="62"/>
      <c r="F98" s="8"/>
      <c r="G98" s="18"/>
      <c r="I98" s="73"/>
      <c r="J98" s="73"/>
      <c r="K98" s="73"/>
      <c r="M98" s="62"/>
      <c r="N98" s="17"/>
      <c r="O98" s="11"/>
    </row>
    <row r="99" spans="1:15" x14ac:dyDescent="0.3">
      <c r="E99" s="62"/>
      <c r="F99" s="8"/>
      <c r="G99" s="18"/>
      <c r="I99" s="73"/>
      <c r="J99" s="73"/>
      <c r="K99" s="73"/>
      <c r="M99" s="62"/>
      <c r="N99" s="17"/>
      <c r="O99" s="11"/>
    </row>
    <row r="100" spans="1:15" x14ac:dyDescent="0.3">
      <c r="E100" s="62"/>
      <c r="F100" s="8"/>
      <c r="G100" s="18"/>
      <c r="I100" s="73"/>
      <c r="J100" s="73"/>
      <c r="K100" s="73"/>
      <c r="M100" s="62"/>
      <c r="N100" s="17"/>
      <c r="O100" s="11"/>
    </row>
    <row r="101" spans="1:15" x14ac:dyDescent="0.3">
      <c r="E101" s="62"/>
      <c r="F101" s="8"/>
      <c r="G101" s="18"/>
      <c r="I101" s="73"/>
      <c r="J101" s="73"/>
      <c r="K101" s="73"/>
      <c r="M101" s="62"/>
      <c r="N101" s="17"/>
      <c r="O101" s="29"/>
    </row>
    <row r="102" spans="1:15" x14ac:dyDescent="0.3">
      <c r="E102" s="62"/>
      <c r="F102" s="8"/>
      <c r="G102" s="18"/>
      <c r="I102" s="73"/>
      <c r="J102" s="73"/>
      <c r="K102" s="73"/>
      <c r="M102" s="62"/>
      <c r="N102" s="17"/>
      <c r="O102" s="11"/>
    </row>
    <row r="103" spans="1:15" ht="19.5" thickBot="1" x14ac:dyDescent="0.35">
      <c r="E103" s="62"/>
      <c r="F103" s="8"/>
      <c r="G103" s="18"/>
      <c r="I103" s="73"/>
      <c r="J103" s="73"/>
      <c r="K103" s="73"/>
      <c r="M103" s="62"/>
      <c r="N103" s="17"/>
      <c r="O103" s="11"/>
    </row>
    <row r="104" spans="1:15" ht="19.5" thickBot="1" x14ac:dyDescent="0.35">
      <c r="A104" s="92" t="s">
        <v>15</v>
      </c>
      <c r="B104" s="93"/>
      <c r="C104" s="94"/>
      <c r="E104" s="62"/>
      <c r="F104" s="12"/>
      <c r="G104" s="11"/>
      <c r="I104" s="74"/>
      <c r="J104" s="8"/>
      <c r="K104" s="60"/>
      <c r="M104" s="62"/>
      <c r="N104" s="8"/>
      <c r="O104" s="11"/>
    </row>
    <row r="105" spans="1:15" ht="19.5" thickBot="1" x14ac:dyDescent="0.35">
      <c r="A105" s="64">
        <v>1</v>
      </c>
      <c r="B105" s="8" t="s">
        <v>67</v>
      </c>
      <c r="C105" s="57" t="s">
        <v>39</v>
      </c>
      <c r="E105" s="62"/>
      <c r="F105" s="47"/>
      <c r="G105" s="11"/>
      <c r="I105" s="74"/>
      <c r="J105" s="8"/>
      <c r="K105" s="60"/>
      <c r="M105" s="62"/>
      <c r="N105" s="23"/>
      <c r="O105" s="37"/>
    </row>
    <row r="106" spans="1:15" ht="19.5" thickBot="1" x14ac:dyDescent="0.35">
      <c r="A106" s="38"/>
      <c r="B106" s="26" t="s">
        <v>21</v>
      </c>
      <c r="C106" s="1">
        <v>1</v>
      </c>
      <c r="E106" s="62"/>
      <c r="F106" s="48"/>
      <c r="G106" s="11"/>
      <c r="I106" s="74"/>
      <c r="J106" s="8"/>
      <c r="K106" s="60"/>
      <c r="M106" s="25">
        <f>M105</f>
        <v>0</v>
      </c>
      <c r="N106" s="26" t="s">
        <v>21</v>
      </c>
      <c r="O106" s="1">
        <v>9</v>
      </c>
    </row>
    <row r="107" spans="1:15" ht="19.5" thickBot="1" x14ac:dyDescent="0.35">
      <c r="E107" s="62"/>
      <c r="F107" s="47"/>
      <c r="G107" s="11"/>
      <c r="I107" s="62"/>
      <c r="J107" s="8"/>
      <c r="K107" s="11"/>
    </row>
    <row r="108" spans="1:15" ht="19.5" thickBot="1" x14ac:dyDescent="0.35">
      <c r="A108" s="92" t="s">
        <v>15</v>
      </c>
      <c r="B108" s="93"/>
      <c r="C108" s="94"/>
      <c r="E108" s="62"/>
      <c r="F108" s="17"/>
      <c r="G108" s="11"/>
      <c r="I108" s="62"/>
      <c r="J108" s="8"/>
      <c r="K108" s="11"/>
    </row>
    <row r="109" spans="1:15" ht="19.5" thickBot="1" x14ac:dyDescent="0.35">
      <c r="A109" s="64">
        <v>1</v>
      </c>
      <c r="B109" s="8" t="s">
        <v>66</v>
      </c>
      <c r="C109" s="57" t="s">
        <v>25</v>
      </c>
      <c r="E109" s="62"/>
      <c r="F109" s="49"/>
      <c r="G109" s="16"/>
      <c r="I109" s="62"/>
      <c r="J109" s="17"/>
      <c r="K109" s="29"/>
    </row>
    <row r="110" spans="1:15" ht="19.5" thickBot="1" x14ac:dyDescent="0.35">
      <c r="A110" s="38"/>
      <c r="B110" s="26" t="s">
        <v>21</v>
      </c>
      <c r="C110" s="1">
        <v>1</v>
      </c>
      <c r="E110" s="63"/>
      <c r="F110" s="17"/>
      <c r="G110" s="50"/>
      <c r="I110" s="62"/>
      <c r="J110" s="8"/>
      <c r="K110" s="11"/>
    </row>
    <row r="111" spans="1:15" ht="19.5" thickBot="1" x14ac:dyDescent="0.35">
      <c r="E111" s="63"/>
      <c r="F111" s="51"/>
      <c r="G111" s="50"/>
      <c r="I111" s="62"/>
      <c r="J111" s="8"/>
      <c r="K111" s="11"/>
    </row>
    <row r="112" spans="1:15" x14ac:dyDescent="0.3">
      <c r="A112" s="95" t="s">
        <v>115</v>
      </c>
      <c r="B112" s="96"/>
      <c r="C112" s="97"/>
      <c r="E112" s="63"/>
      <c r="F112" s="8"/>
      <c r="G112" s="50"/>
      <c r="I112" s="62"/>
      <c r="J112" s="17"/>
      <c r="K112" s="11"/>
    </row>
    <row r="113" spans="1:11" ht="19.5" thickBot="1" x14ac:dyDescent="0.35">
      <c r="A113" s="74">
        <v>1</v>
      </c>
      <c r="B113" s="8" t="s">
        <v>117</v>
      </c>
      <c r="C113" s="60" t="s">
        <v>116</v>
      </c>
      <c r="E113" s="64"/>
      <c r="F113" s="23"/>
      <c r="G113" s="52"/>
      <c r="I113" s="62"/>
      <c r="J113" s="8"/>
      <c r="K113" s="11"/>
    </row>
    <row r="114" spans="1:11" ht="19.5" thickBot="1" x14ac:dyDescent="0.35">
      <c r="A114" s="74">
        <f>A113+1</f>
        <v>2</v>
      </c>
      <c r="B114" s="8" t="s">
        <v>109</v>
      </c>
      <c r="C114" s="60" t="s">
        <v>150</v>
      </c>
      <c r="E114" s="53">
        <f>E113</f>
        <v>0</v>
      </c>
      <c r="F114" s="54" t="s">
        <v>36</v>
      </c>
      <c r="G114" s="55">
        <v>62</v>
      </c>
      <c r="I114" s="62"/>
      <c r="J114" s="23"/>
      <c r="K114" s="37"/>
    </row>
    <row r="115" spans="1:11" ht="19.5" thickBot="1" x14ac:dyDescent="0.35">
      <c r="A115" s="74">
        <f>A114+1</f>
        <v>3</v>
      </c>
      <c r="B115" s="8" t="s">
        <v>130</v>
      </c>
      <c r="C115" s="60" t="s">
        <v>116</v>
      </c>
      <c r="I115" s="25">
        <f>I114</f>
        <v>0</v>
      </c>
      <c r="J115" s="26" t="s">
        <v>21</v>
      </c>
      <c r="K115" s="1">
        <v>9</v>
      </c>
    </row>
    <row r="116" spans="1:11" x14ac:dyDescent="0.3">
      <c r="A116" s="74">
        <f t="shared" ref="A116:A123" si="15">A115+1</f>
        <v>4</v>
      </c>
      <c r="B116" s="8" t="s">
        <v>149</v>
      </c>
      <c r="C116" s="60" t="s">
        <v>150</v>
      </c>
    </row>
    <row r="117" spans="1:11" x14ac:dyDescent="0.3">
      <c r="A117" s="74">
        <f t="shared" si="15"/>
        <v>5</v>
      </c>
      <c r="B117" s="8" t="s">
        <v>165</v>
      </c>
      <c r="C117" s="60" t="s">
        <v>116</v>
      </c>
    </row>
    <row r="118" spans="1:11" x14ac:dyDescent="0.3">
      <c r="A118" s="74">
        <f t="shared" si="15"/>
        <v>6</v>
      </c>
      <c r="B118" s="8" t="s">
        <v>197</v>
      </c>
      <c r="C118" s="60" t="s">
        <v>116</v>
      </c>
    </row>
    <row r="119" spans="1:11" x14ac:dyDescent="0.3">
      <c r="A119" s="74">
        <f t="shared" si="15"/>
        <v>7</v>
      </c>
      <c r="B119" s="8" t="s">
        <v>224</v>
      </c>
      <c r="C119" s="60" t="s">
        <v>116</v>
      </c>
    </row>
    <row r="120" spans="1:11" x14ac:dyDescent="0.3">
      <c r="A120" s="74">
        <f t="shared" si="15"/>
        <v>8</v>
      </c>
      <c r="B120" s="8"/>
      <c r="C120" s="60" t="s">
        <v>116</v>
      </c>
    </row>
    <row r="121" spans="1:11" x14ac:dyDescent="0.3">
      <c r="A121" s="74">
        <f t="shared" si="15"/>
        <v>9</v>
      </c>
      <c r="B121" s="17"/>
      <c r="C121" s="60" t="s">
        <v>116</v>
      </c>
    </row>
    <row r="122" spans="1:11" x14ac:dyDescent="0.3">
      <c r="A122" s="74">
        <f t="shared" si="15"/>
        <v>10</v>
      </c>
      <c r="B122" s="8"/>
      <c r="C122" s="60" t="s">
        <v>116</v>
      </c>
    </row>
    <row r="123" spans="1:11" x14ac:dyDescent="0.3">
      <c r="A123" s="74">
        <f t="shared" si="15"/>
        <v>11</v>
      </c>
      <c r="B123" s="8"/>
      <c r="C123" s="60" t="s">
        <v>116</v>
      </c>
    </row>
    <row r="124" spans="1:11" ht="19.5" thickBot="1" x14ac:dyDescent="0.35">
      <c r="A124" s="53">
        <f>A123</f>
        <v>11</v>
      </c>
      <c r="B124" s="59" t="s">
        <v>21</v>
      </c>
      <c r="C124" s="55">
        <v>9</v>
      </c>
    </row>
  </sheetData>
  <sortState ref="E4:G62">
    <sortCondition ref="E4"/>
  </sortState>
  <mergeCells count="19">
    <mergeCell ref="A19:C19"/>
    <mergeCell ref="A48:C48"/>
    <mergeCell ref="I95:K95"/>
    <mergeCell ref="Q2:R2"/>
    <mergeCell ref="Q3:R3"/>
    <mergeCell ref="Q4:R4"/>
    <mergeCell ref="A108:C108"/>
    <mergeCell ref="A112:C112"/>
    <mergeCell ref="M2:O2"/>
    <mergeCell ref="M81:O81"/>
    <mergeCell ref="A71:C71"/>
    <mergeCell ref="A83:C83"/>
    <mergeCell ref="A104:C104"/>
    <mergeCell ref="I2:K2"/>
    <mergeCell ref="I8:K8"/>
    <mergeCell ref="I20:K20"/>
    <mergeCell ref="I64:K64"/>
    <mergeCell ref="A2:C2"/>
    <mergeCell ref="E2:G2"/>
  </mergeCells>
  <pageMargins left="0.45" right="0.2" top="0.25" bottom="0.25" header="0.3" footer="0.3"/>
  <pageSetup paperSize="9" scale="6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per position</vt:lpstr>
      <vt:lpstr>'list per position'!Print_Area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2026-04-21T08:23:09Z</dcterms:modified>
</cp:coreProperties>
</file>